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30" windowWidth="20055" windowHeight="10755" activeTab="7"/>
  </bookViews>
  <sheets>
    <sheet name="APR'25" sheetId="6" r:id="rId1"/>
    <sheet name="MAY'25" sheetId="7" r:id="rId2"/>
    <sheet name="JUN'25" sheetId="8" r:id="rId3"/>
    <sheet name="JUL'25" sheetId="9" r:id="rId4"/>
    <sheet name="AUG'25" sheetId="10" r:id="rId5"/>
    <sheet name="SEPT'25" sheetId="11" r:id="rId6"/>
    <sheet name="OCT'25" sheetId="12" r:id="rId7"/>
    <sheet name="DEC'25" sheetId="13" r:id="rId8"/>
  </sheets>
  <definedNames>
    <definedName name="_xlnm._FilterDatabase" localSheetId="0" hidden="1">'APR''25'!$A$1:$N$8</definedName>
    <definedName name="_xlnm._FilterDatabase" localSheetId="4" hidden="1">'AUG''25'!$A$1:$N$10</definedName>
    <definedName name="_xlnm._FilterDatabase" localSheetId="7" hidden="1">'DEC''25'!$A$1:$N$7</definedName>
    <definedName name="_xlnm._FilterDatabase" localSheetId="3" hidden="1">'JUL''25'!$B$1:$N$1</definedName>
    <definedName name="_xlnm._FilterDatabase" localSheetId="2" hidden="1">'JUN''25'!$A$1:$N$10</definedName>
    <definedName name="_xlnm._FilterDatabase" localSheetId="1" hidden="1">'MAY''25'!$A$1:$N$10</definedName>
    <definedName name="_xlnm._FilterDatabase" localSheetId="6" hidden="1">'OCT''25'!$A$1:$N$7</definedName>
    <definedName name="_xlnm._FilterDatabase" localSheetId="5" hidden="1">'SEPT''25'!$A$1:$N$7</definedName>
    <definedName name="_xlnm.Print_Area" localSheetId="0">'APR''25'!$A$1:$N$21</definedName>
    <definedName name="_xlnm.Print_Area" localSheetId="4">'AUG''25'!$A$1:$N$23</definedName>
    <definedName name="_xlnm.Print_Area" localSheetId="7">'DEC''25'!$A$1:$N$20</definedName>
    <definedName name="_xlnm.Print_Area" localSheetId="3">'JUL''25'!$A$1:$N$23</definedName>
    <definedName name="_xlnm.Print_Area" localSheetId="2">'JUN''25'!$A$1:$N$23</definedName>
    <definedName name="_xlnm.Print_Area" localSheetId="1">'MAY''25'!$A$1:$N$23</definedName>
    <definedName name="_xlnm.Print_Area" localSheetId="6">'OCT''25'!$A$1:$N$20</definedName>
    <definedName name="_xlnm.Print_Area" localSheetId="5">'SEPT''25'!$A$1:$N$20</definedName>
  </definedNames>
  <calcPr calcId="144525"/>
</workbook>
</file>

<file path=xl/calcChain.xml><?xml version="1.0" encoding="utf-8"?>
<calcChain xmlns="http://schemas.openxmlformats.org/spreadsheetml/2006/main">
  <c r="F15" i="13" l="1"/>
  <c r="F17" i="13" s="1"/>
  <c r="F19" i="13" s="1"/>
  <c r="L7" i="13"/>
  <c r="J7" i="13"/>
  <c r="F18" i="13" s="1"/>
  <c r="F7" i="13"/>
  <c r="A3" i="13"/>
  <c r="A4" i="13" s="1"/>
  <c r="A5" i="13" s="1"/>
  <c r="A6" i="13" s="1"/>
  <c r="J2" i="13"/>
  <c r="A3" i="9" l="1"/>
  <c r="A4" i="9"/>
  <c r="F15" i="12" l="1"/>
  <c r="F17" i="12" s="1"/>
  <c r="L7" i="12"/>
  <c r="F7" i="12"/>
  <c r="A3" i="12"/>
  <c r="A4" i="12" s="1"/>
  <c r="A5" i="12" s="1"/>
  <c r="A6" i="12" s="1"/>
  <c r="J2" i="12"/>
  <c r="J7" i="12" s="1"/>
  <c r="F18" i="12" s="1"/>
  <c r="F19" i="12" l="1"/>
  <c r="F15" i="11"/>
  <c r="F17" i="11" s="1"/>
  <c r="L7" i="11"/>
  <c r="F7" i="11"/>
  <c r="A3" i="11"/>
  <c r="A4" i="11" s="1"/>
  <c r="A5" i="11" s="1"/>
  <c r="A6" i="11" s="1"/>
  <c r="J2" i="11"/>
  <c r="J7" i="11" l="1"/>
  <c r="F18" i="11" s="1"/>
  <c r="F19" i="11"/>
  <c r="J4" i="10"/>
  <c r="J3" i="10"/>
  <c r="F18" i="10" l="1"/>
  <c r="F20" i="10" s="1"/>
  <c r="L10" i="10"/>
  <c r="F10" i="10"/>
  <c r="A3" i="10"/>
  <c r="A4" i="10" s="1"/>
  <c r="A5" i="10" s="1"/>
  <c r="A6" i="10" s="1"/>
  <c r="J2" i="10"/>
  <c r="A7" i="10" l="1"/>
  <c r="A8" i="10" s="1"/>
  <c r="A9" i="10" s="1"/>
  <c r="J10" i="10"/>
  <c r="F21" i="10" s="1"/>
  <c r="F22" i="10" s="1"/>
  <c r="J5" i="9"/>
  <c r="J4" i="9" l="1"/>
  <c r="J3" i="9"/>
  <c r="F18" i="9" l="1"/>
  <c r="F20" i="9" s="1"/>
  <c r="L10" i="9"/>
  <c r="F10" i="9"/>
  <c r="A5" i="9"/>
  <c r="A6" i="9" s="1"/>
  <c r="A7" i="9" s="1"/>
  <c r="A8" i="9" s="1"/>
  <c r="A9" i="9" s="1"/>
  <c r="J2" i="9"/>
  <c r="J10" i="9" l="1"/>
  <c r="F21" i="9" s="1"/>
  <c r="F22" i="9" s="1"/>
  <c r="J4" i="8"/>
  <c r="J3" i="8" l="1"/>
  <c r="F20" i="8" l="1"/>
  <c r="F18" i="8"/>
  <c r="L10" i="8"/>
  <c r="F10" i="8"/>
  <c r="A4" i="8"/>
  <c r="A5" i="8" s="1"/>
  <c r="A6" i="8" s="1"/>
  <c r="A7" i="8" s="1"/>
  <c r="A8" i="8" s="1"/>
  <c r="A9" i="8" s="1"/>
  <c r="A3" i="8"/>
  <c r="J2" i="8"/>
  <c r="J10" i="8" s="1"/>
  <c r="F21" i="8" s="1"/>
  <c r="F22" i="8" l="1"/>
  <c r="A8" i="7"/>
  <c r="A9" i="7" s="1"/>
  <c r="A5" i="6" l="1"/>
  <c r="A6" i="6" s="1"/>
  <c r="A7" i="6" s="1"/>
  <c r="F18" i="7" l="1"/>
  <c r="F20" i="7" s="1"/>
  <c r="L10" i="7"/>
  <c r="F10" i="7"/>
  <c r="A3" i="7"/>
  <c r="A4" i="7" s="1"/>
  <c r="A5" i="7" s="1"/>
  <c r="A6" i="7" s="1"/>
  <c r="A7" i="7" s="1"/>
  <c r="J2" i="7"/>
  <c r="J10" i="7" s="1"/>
  <c r="F21" i="7" s="1"/>
  <c r="F22" i="7" l="1"/>
  <c r="A3" i="6"/>
  <c r="A4" i="6" s="1"/>
  <c r="F16" i="6" l="1"/>
  <c r="F18" i="6" s="1"/>
  <c r="L8" i="6"/>
  <c r="F8" i="6"/>
  <c r="J2" i="6"/>
  <c r="J8" i="6" s="1"/>
  <c r="F19" i="6" s="1"/>
  <c r="F20" i="6" l="1"/>
</calcChain>
</file>

<file path=xl/sharedStrings.xml><?xml version="1.0" encoding="utf-8"?>
<sst xmlns="http://schemas.openxmlformats.org/spreadsheetml/2006/main" count="316" uniqueCount="66">
  <si>
    <t>TOTAL</t>
  </si>
  <si>
    <t>ZINC RECEIVED</t>
  </si>
  <si>
    <t>ZINC CONSUMED</t>
  </si>
  <si>
    <t>BALANCE ZINC</t>
  </si>
  <si>
    <t>DESPATCH QUANTITY</t>
  </si>
  <si>
    <t>DATE</t>
  </si>
  <si>
    <t>GROSS ZINC CONSUMPTION</t>
  </si>
  <si>
    <t>CHALLAN NO.</t>
  </si>
  <si>
    <t>SL NO</t>
  </si>
  <si>
    <t>PARTICULARS</t>
  </si>
  <si>
    <t>VCH TYPE</t>
  </si>
  <si>
    <t>INWARD QTY</t>
  </si>
  <si>
    <t>THICKNESS</t>
  </si>
  <si>
    <t>CHALLAN NO</t>
  </si>
  <si>
    <t>QTY</t>
  </si>
  <si>
    <t>IN</t>
  </si>
  <si>
    <t>VCH. TYPE</t>
  </si>
  <si>
    <t>ZINC CONSUMPTION PER MTS (KGS)</t>
  </si>
  <si>
    <t>MATERIAL DESCRIPTION</t>
  </si>
  <si>
    <t>DISPATCH DOC NO</t>
  </si>
  <si>
    <t>REMARKS</t>
  </si>
  <si>
    <t>JOB WORK MATERIALS - INDIA ELECTRICALS SYNDICATE</t>
  </si>
  <si>
    <t>-</t>
  </si>
  <si>
    <t>OPENING ZINC (C/F)</t>
  </si>
  <si>
    <t>JW/IES/25-26/001</t>
  </si>
  <si>
    <t>LADDER TYPE CABLE TRAY &amp; ACCESSORIES</t>
  </si>
  <si>
    <t>J/22</t>
  </si>
  <si>
    <t>SIDE PLATE</t>
  </si>
  <si>
    <t>3MM</t>
  </si>
  <si>
    <t>JW/IES/25-26/002</t>
  </si>
  <si>
    <t>VERTICAL BEND</t>
  </si>
  <si>
    <t>J/23</t>
  </si>
  <si>
    <t>SIDE &amp; MIDDLE PLATE</t>
  </si>
  <si>
    <t>2.8MM</t>
  </si>
  <si>
    <t>JW/IES/25-26/003</t>
  </si>
  <si>
    <t>JW/IES/25-26/004</t>
  </si>
  <si>
    <t>MIDDLE PLATE, JALI &amp; V-BEND</t>
  </si>
  <si>
    <t>J/30</t>
  </si>
  <si>
    <t>2.2MM</t>
  </si>
  <si>
    <t>COVER</t>
  </si>
  <si>
    <t>JW/IES/25-26/005</t>
  </si>
  <si>
    <t>PLATE &amp; JALI</t>
  </si>
  <si>
    <t>JW/IES/25-26/006</t>
  </si>
  <si>
    <t>JW/IES/25-26/007</t>
  </si>
  <si>
    <t>MIDDLE PLATE &amp; COVER</t>
  </si>
  <si>
    <t>J/38</t>
  </si>
  <si>
    <t>ZINC FROM INDIA ELECTRICALS</t>
  </si>
  <si>
    <t>J/44</t>
  </si>
  <si>
    <t>LADDER TYPE CABLE TRAY</t>
  </si>
  <si>
    <t>J/45</t>
  </si>
  <si>
    <t>J/46</t>
  </si>
  <si>
    <t>JW/IES/25-26/008</t>
  </si>
  <si>
    <t>J/48</t>
  </si>
  <si>
    <t>JW/IES/25-26/009</t>
  </si>
  <si>
    <t>J/52</t>
  </si>
  <si>
    <t>J/51</t>
  </si>
  <si>
    <t>J/57</t>
  </si>
  <si>
    <t>JW/IES/25-26/010</t>
  </si>
  <si>
    <t>JW/IES/25-26/011</t>
  </si>
  <si>
    <t>JW/IES/25-26/012</t>
  </si>
  <si>
    <t>JW/IES/25-26/013</t>
  </si>
  <si>
    <t>JW/IES/25-26/014</t>
  </si>
  <si>
    <t>J/63</t>
  </si>
  <si>
    <t>JW/IES/25-26/015</t>
  </si>
  <si>
    <t>JW/IES/25-26/016</t>
  </si>
  <si>
    <t>J/104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</si>
</sst>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&quot;&quot;0.0000&quot; MTS&quot;"/>
    <numFmt numFmtId="165" formatCode="&quot;&quot;0.00&quot; KGS&quot;"/>
    <numFmt numFmtId="166" formatCode="&quot;&quot;0.000&quot; MTS&quot;"/>
    <numFmt numFmtId="167" formatCode="&quot;&quot;0.000&quot; KGS&quot;"/>
    <numFmt numFmtId="168" formatCode="0.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0" borderId="0" xfId="0" applyFont="1" applyBorder="1" applyAlignment="1">
      <alignment horizontal="center"/>
    </xf>
    <xf numFmtId="164" fontId="1" fillId="0" borderId="0" xfId="0" applyNumberFormat="1" applyFont="1" applyBorder="1"/>
    <xf numFmtId="164" fontId="1" fillId="0" borderId="0" xfId="0" applyNumberFormat="1" applyFont="1" applyBorder="1" applyAlignment="1">
      <alignment horizontal="center" vertical="center"/>
    </xf>
    <xf numFmtId="0" fontId="1" fillId="0" borderId="0" xfId="0" applyFont="1" applyBorder="1" applyAlignment="1">
      <alignment horizontal="center" wrapText="1"/>
    </xf>
    <xf numFmtId="0" fontId="0" fillId="0" borderId="0" xfId="0" applyFont="1"/>
    <xf numFmtId="0" fontId="0" fillId="0" borderId="0" xfId="0" applyFont="1" applyAlignment="1">
      <alignment horizontal="center"/>
    </xf>
    <xf numFmtId="0" fontId="0" fillId="0" borderId="0" xfId="0" applyFont="1" applyBorder="1"/>
    <xf numFmtId="166" fontId="4" fillId="0" borderId="0" xfId="0" applyNumberFormat="1" applyFont="1" applyBorder="1"/>
    <xf numFmtId="164" fontId="3" fillId="0" borderId="0" xfId="0" applyNumberFormat="1" applyFont="1" applyFill="1" applyBorder="1" applyAlignment="1">
      <alignment horizontal="center" vertical="center"/>
    </xf>
    <xf numFmtId="2" fontId="0" fillId="0" borderId="0" xfId="0" applyNumberFormat="1" applyFont="1" applyBorder="1"/>
    <xf numFmtId="0" fontId="4" fillId="0" borderId="0" xfId="0" applyFont="1" applyBorder="1" applyAlignment="1">
      <alignment horizontal="center" vertical="center"/>
    </xf>
    <xf numFmtId="166" fontId="4" fillId="0" borderId="0" xfId="0" applyNumberFormat="1" applyFont="1" applyBorder="1" applyAlignment="1">
      <alignment horizontal="center" vertical="center"/>
    </xf>
    <xf numFmtId="2" fontId="5" fillId="0" borderId="0" xfId="0" applyNumberFormat="1" applyFont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6" fillId="0" borderId="0" xfId="0" applyFont="1"/>
    <xf numFmtId="14" fontId="1" fillId="0" borderId="0" xfId="0" applyNumberFormat="1" applyFont="1" applyBorder="1" applyAlignment="1">
      <alignment horizontal="left"/>
    </xf>
    <xf numFmtId="14" fontId="0" fillId="0" borderId="0" xfId="0" applyNumberFormat="1" applyFont="1" applyAlignment="1">
      <alignment horizontal="left"/>
    </xf>
    <xf numFmtId="49" fontId="6" fillId="0" borderId="1" xfId="0" applyNumberFormat="1" applyFont="1" applyBorder="1" applyAlignment="1">
      <alignment vertical="top"/>
    </xf>
    <xf numFmtId="164" fontId="6" fillId="0" borderId="1" xfId="0" applyNumberFormat="1" applyFont="1" applyBorder="1" applyAlignment="1">
      <alignment horizontal="center" vertical="center"/>
    </xf>
    <xf numFmtId="2" fontId="6" fillId="0" borderId="1" xfId="0" applyNumberFormat="1" applyFont="1" applyBorder="1" applyAlignment="1">
      <alignment horizontal="center" vertical="center"/>
    </xf>
    <xf numFmtId="164" fontId="6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/>
    </xf>
    <xf numFmtId="164" fontId="4" fillId="0" borderId="3" xfId="0" applyNumberFormat="1" applyFont="1" applyBorder="1" applyAlignment="1">
      <alignment horizontal="center" vertical="center"/>
    </xf>
    <xf numFmtId="2" fontId="4" fillId="0" borderId="3" xfId="0" applyNumberFormat="1" applyFont="1" applyBorder="1" applyAlignment="1">
      <alignment horizontal="center" vertical="center"/>
    </xf>
    <xf numFmtId="49" fontId="6" fillId="0" borderId="1" xfId="0" applyNumberFormat="1" applyFont="1" applyBorder="1" applyAlignment="1">
      <alignment horizontal="center" vertical="top"/>
    </xf>
    <xf numFmtId="14" fontId="6" fillId="0" borderId="1" xfId="0" applyNumberFormat="1" applyFont="1" applyBorder="1" applyAlignment="1">
      <alignment horizontal="center"/>
    </xf>
    <xf numFmtId="164" fontId="6" fillId="0" borderId="1" xfId="0" applyNumberFormat="1" applyFont="1" applyBorder="1" applyAlignment="1">
      <alignment horizontal="center" vertical="top"/>
    </xf>
    <xf numFmtId="165" fontId="6" fillId="0" borderId="2" xfId="0" applyNumberFormat="1" applyFont="1" applyBorder="1" applyAlignment="1">
      <alignment horizontal="center" vertical="center"/>
    </xf>
    <xf numFmtId="164" fontId="4" fillId="0" borderId="0" xfId="0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9" fontId="6" fillId="0" borderId="2" xfId="0" applyNumberFormat="1" applyFont="1" applyBorder="1" applyAlignment="1">
      <alignment horizontal="center" vertical="top"/>
    </xf>
    <xf numFmtId="164" fontId="6" fillId="0" borderId="2" xfId="0" applyNumberFormat="1" applyFont="1" applyBorder="1" applyAlignment="1">
      <alignment horizontal="center" vertical="center"/>
    </xf>
    <xf numFmtId="2" fontId="6" fillId="0" borderId="2" xfId="0" applyNumberFormat="1" applyFont="1" applyBorder="1" applyAlignment="1">
      <alignment horizontal="center" vertical="center"/>
    </xf>
    <xf numFmtId="14" fontId="6" fillId="0" borderId="7" xfId="0" applyNumberFormat="1" applyFont="1" applyBorder="1" applyAlignment="1">
      <alignment horizontal="left"/>
    </xf>
    <xf numFmtId="14" fontId="6" fillId="0" borderId="8" xfId="0" applyNumberFormat="1" applyFont="1" applyBorder="1" applyAlignment="1">
      <alignment horizontal="left"/>
    </xf>
    <xf numFmtId="14" fontId="4" fillId="0" borderId="8" xfId="0" applyNumberFormat="1" applyFont="1" applyBorder="1" applyAlignment="1">
      <alignment horizontal="left"/>
    </xf>
    <xf numFmtId="14" fontId="0" fillId="2" borderId="10" xfId="0" applyNumberFormat="1" applyFont="1" applyFill="1" applyBorder="1" applyAlignment="1">
      <alignment horizontal="left"/>
    </xf>
    <xf numFmtId="0" fontId="0" fillId="2" borderId="0" xfId="0" applyFont="1" applyFill="1" applyBorder="1"/>
    <xf numFmtId="0" fontId="0" fillId="2" borderId="11" xfId="0" applyFont="1" applyFill="1" applyBorder="1"/>
    <xf numFmtId="49" fontId="6" fillId="0" borderId="8" xfId="0" applyNumberFormat="1" applyFont="1" applyBorder="1" applyAlignment="1">
      <alignment horizontal="center"/>
    </xf>
    <xf numFmtId="14" fontId="6" fillId="0" borderId="19" xfId="0" applyNumberFormat="1" applyFont="1" applyBorder="1" applyAlignment="1">
      <alignment horizontal="center"/>
    </xf>
    <xf numFmtId="49" fontId="4" fillId="0" borderId="19" xfId="0" applyNumberFormat="1" applyFont="1" applyBorder="1" applyAlignment="1">
      <alignment horizontal="center" vertical="top"/>
    </xf>
    <xf numFmtId="164" fontId="4" fillId="0" borderId="19" xfId="0" applyNumberFormat="1" applyFont="1" applyBorder="1" applyAlignment="1">
      <alignment horizontal="center" vertical="top"/>
    </xf>
    <xf numFmtId="2" fontId="4" fillId="0" borderId="19" xfId="0" applyNumberFormat="1" applyFont="1" applyBorder="1" applyAlignment="1">
      <alignment horizontal="center" vertical="center"/>
    </xf>
    <xf numFmtId="165" fontId="4" fillId="0" borderId="20" xfId="0" applyNumberFormat="1" applyFont="1" applyBorder="1" applyAlignment="1">
      <alignment horizontal="center" vertical="center"/>
    </xf>
    <xf numFmtId="166" fontId="4" fillId="0" borderId="5" xfId="0" applyNumberFormat="1" applyFont="1" applyBorder="1" applyAlignment="1">
      <alignment horizontal="center" vertical="center"/>
    </xf>
    <xf numFmtId="164" fontId="4" fillId="0" borderId="5" xfId="0" applyNumberFormat="1" applyFont="1" applyBorder="1" applyAlignment="1">
      <alignment horizontal="center"/>
    </xf>
    <xf numFmtId="165" fontId="7" fillId="0" borderId="5" xfId="0" applyNumberFormat="1" applyFont="1" applyBorder="1" applyAlignment="1">
      <alignment horizontal="center" vertical="center"/>
    </xf>
    <xf numFmtId="2" fontId="4" fillId="0" borderId="20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165" fontId="5" fillId="0" borderId="24" xfId="0" applyNumberFormat="1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0" fillId="0" borderId="25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0" fillId="2" borderId="0" xfId="0" applyFont="1" applyFill="1" applyBorder="1" applyAlignment="1">
      <alignment horizontal="center"/>
    </xf>
    <xf numFmtId="164" fontId="4" fillId="0" borderId="0" xfId="0" applyNumberFormat="1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164" fontId="4" fillId="0" borderId="0" xfId="0" applyNumberFormat="1" applyFont="1" applyBorder="1" applyAlignment="1">
      <alignment vertical="center"/>
    </xf>
    <xf numFmtId="49" fontId="2" fillId="3" borderId="4" xfId="0" applyNumberFormat="1" applyFont="1" applyFill="1" applyBorder="1" applyAlignment="1">
      <alignment horizontal="center" vertical="center"/>
    </xf>
    <xf numFmtId="14" fontId="2" fillId="3" borderId="5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/>
    </xf>
    <xf numFmtId="49" fontId="2" fillId="3" borderId="5" xfId="0" applyNumberFormat="1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14" fontId="3" fillId="3" borderId="4" xfId="0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164" fontId="3" fillId="3" borderId="6" xfId="0" applyNumberFormat="1" applyFont="1" applyFill="1" applyBorder="1" applyAlignment="1">
      <alignment horizontal="center"/>
    </xf>
    <xf numFmtId="0" fontId="6" fillId="0" borderId="8" xfId="0" applyNumberFormat="1" applyFont="1" applyBorder="1" applyAlignment="1">
      <alignment horizontal="center"/>
    </xf>
    <xf numFmtId="49" fontId="6" fillId="0" borderId="2" xfId="0" applyNumberFormat="1" applyFont="1" applyBorder="1" applyAlignment="1">
      <alignment vertical="top"/>
    </xf>
    <xf numFmtId="1" fontId="6" fillId="0" borderId="8" xfId="0" applyNumberFormat="1" applyFont="1" applyBorder="1" applyAlignment="1">
      <alignment horizontal="center"/>
    </xf>
    <xf numFmtId="167" fontId="7" fillId="0" borderId="9" xfId="0" applyNumberFormat="1" applyFont="1" applyFill="1" applyBorder="1" applyAlignment="1">
      <alignment horizontal="right" vertical="top"/>
    </xf>
    <xf numFmtId="167" fontId="6" fillId="0" borderId="9" xfId="0" applyNumberFormat="1" applyFont="1" applyFill="1" applyBorder="1" applyAlignment="1">
      <alignment horizontal="right" vertical="top"/>
    </xf>
    <xf numFmtId="167" fontId="4" fillId="0" borderId="9" xfId="0" applyNumberFormat="1" applyFont="1" applyBorder="1"/>
    <xf numFmtId="167" fontId="7" fillId="0" borderId="18" xfId="0" applyNumberFormat="1" applyFont="1" applyFill="1" applyBorder="1"/>
    <xf numFmtId="167" fontId="0" fillId="2" borderId="11" xfId="0" applyNumberFormat="1" applyFont="1" applyFill="1" applyBorder="1"/>
    <xf numFmtId="166" fontId="6" fillId="0" borderId="1" xfId="0" applyNumberFormat="1" applyFont="1" applyBorder="1" applyAlignment="1">
      <alignment horizontal="center" vertical="top"/>
    </xf>
    <xf numFmtId="166" fontId="4" fillId="0" borderId="19" xfId="0" applyNumberFormat="1" applyFont="1" applyBorder="1" applyAlignment="1">
      <alignment horizontal="center" vertical="top"/>
    </xf>
    <xf numFmtId="168" fontId="6" fillId="0" borderId="2" xfId="0" applyNumberFormat="1" applyFont="1" applyBorder="1" applyAlignment="1">
      <alignment horizontal="center" vertical="center"/>
    </xf>
    <xf numFmtId="167" fontId="7" fillId="0" borderId="5" xfId="0" applyNumberFormat="1" applyFont="1" applyBorder="1" applyAlignment="1">
      <alignment horizontal="center" vertical="center"/>
    </xf>
    <xf numFmtId="0" fontId="4" fillId="0" borderId="23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2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</cellXfs>
  <cellStyles count="1">
    <cellStyle name="Normal" xfId="0" builtinId="0"/>
  </cellStyles>
  <dxfs count="40"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9C6500"/>
      </font>
      <fill>
        <patternFill>
          <bgColor rgb="FFFFEB9C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  <dxf>
      <font>
        <condense val="0"/>
        <extend val="0"/>
        <color rgb="FF006100"/>
      </font>
      <fill>
        <patternFill>
          <bgColor rgb="FFC6EFCE"/>
        </patternFill>
      </fill>
    </dxf>
    <dxf>
      <font>
        <condense val="0"/>
        <extend val="0"/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6"/>
  <sheetViews>
    <sheetView zoomScaleNormal="100" workbookViewId="0">
      <pane ySplit="1" topLeftCell="A2" activePane="bottomLeft" state="frozen"/>
      <selection pane="bottomLeft" activeCell="C12" sqref="C12"/>
    </sheetView>
  </sheetViews>
  <sheetFormatPr defaultRowHeight="15" x14ac:dyDescent="0.25"/>
  <cols>
    <col min="1" max="1" width="7.85546875" style="6" customWidth="1"/>
    <col min="2" max="2" width="10.5703125" style="17" customWidth="1"/>
    <col min="3" max="3" width="43.7109375" style="5" bestFit="1" customWidth="1"/>
    <col min="4" max="4" width="12.28515625" style="5" bestFit="1" customWidth="1"/>
    <col min="5" max="5" width="14.5703125" style="6" bestFit="1" customWidth="1"/>
    <col min="6" max="6" width="14.28515625" style="5" bestFit="1" customWidth="1"/>
    <col min="7" max="7" width="31.140625" style="14" bestFit="1" customWidth="1"/>
    <col min="8" max="8" width="12.5703125" style="14" bestFit="1" customWidth="1"/>
    <col min="9" max="9" width="28.85546875" style="5" bestFit="1" customWidth="1"/>
    <col min="10" max="10" width="23.7109375" style="5" bestFit="1" customWidth="1"/>
    <col min="11" max="11" width="18.5703125" style="5" customWidth="1"/>
    <col min="12" max="12" width="19.7109375" style="5" bestFit="1" customWidth="1"/>
    <col min="13" max="13" width="18.140625" style="5" customWidth="1"/>
    <col min="14" max="14" width="36.85546875" style="5" bestFit="1" customWidth="1"/>
    <col min="15" max="16" width="10.85546875" style="5" customWidth="1"/>
    <col min="17" max="16384" width="9.140625" style="5"/>
  </cols>
  <sheetData>
    <row r="1" spans="1:16" s="15" customFormat="1" ht="15.75" customHeight="1" thickBot="1" x14ac:dyDescent="0.25">
      <c r="A1" s="59" t="s">
        <v>8</v>
      </c>
      <c r="B1" s="60" t="s">
        <v>5</v>
      </c>
      <c r="C1" s="61" t="s">
        <v>9</v>
      </c>
      <c r="D1" s="61" t="s">
        <v>16</v>
      </c>
      <c r="E1" s="62" t="s">
        <v>7</v>
      </c>
      <c r="F1" s="62" t="s">
        <v>11</v>
      </c>
      <c r="G1" s="61" t="s">
        <v>18</v>
      </c>
      <c r="H1" s="61" t="s">
        <v>12</v>
      </c>
      <c r="I1" s="62" t="s">
        <v>17</v>
      </c>
      <c r="J1" s="63" t="s">
        <v>6</v>
      </c>
      <c r="K1" s="63" t="s">
        <v>19</v>
      </c>
      <c r="L1" s="63" t="s">
        <v>4</v>
      </c>
      <c r="M1" s="64" t="s">
        <v>5</v>
      </c>
      <c r="N1" s="65" t="s">
        <v>20</v>
      </c>
    </row>
    <row r="2" spans="1:16" s="6" customFormat="1" x14ac:dyDescent="0.25">
      <c r="A2" s="69">
        <v>1</v>
      </c>
      <c r="B2" s="26"/>
      <c r="C2" s="25" t="s">
        <v>21</v>
      </c>
      <c r="D2" s="25" t="s">
        <v>15</v>
      </c>
      <c r="E2" s="25"/>
      <c r="F2" s="27"/>
      <c r="G2" s="19"/>
      <c r="H2" s="21"/>
      <c r="I2" s="20"/>
      <c r="J2" s="33">
        <f t="shared" ref="J2" si="0">F2*I2</f>
        <v>0</v>
      </c>
      <c r="K2" s="33" t="s">
        <v>24</v>
      </c>
      <c r="L2" s="28">
        <v>5260</v>
      </c>
      <c r="M2" s="50">
        <v>45748</v>
      </c>
      <c r="N2" s="32" t="s">
        <v>25</v>
      </c>
    </row>
    <row r="3" spans="1:16" s="6" customFormat="1" x14ac:dyDescent="0.25">
      <c r="A3" s="71">
        <f>A2+1</f>
        <v>2</v>
      </c>
      <c r="B3" s="26"/>
      <c r="C3" s="25"/>
      <c r="D3" s="25"/>
      <c r="E3" s="25"/>
      <c r="F3" s="27"/>
      <c r="G3" s="19"/>
      <c r="H3" s="21"/>
      <c r="I3" s="20"/>
      <c r="J3" s="33"/>
      <c r="K3" s="33"/>
      <c r="L3" s="28"/>
      <c r="M3" s="50"/>
      <c r="N3" s="32"/>
    </row>
    <row r="4" spans="1:16" s="6" customFormat="1" x14ac:dyDescent="0.25">
      <c r="A4" s="71">
        <f>A3+1</f>
        <v>3</v>
      </c>
      <c r="B4" s="26"/>
      <c r="C4" s="25"/>
      <c r="D4" s="25"/>
      <c r="E4" s="25"/>
      <c r="F4" s="27"/>
      <c r="G4" s="19"/>
      <c r="H4" s="21"/>
      <c r="I4" s="20"/>
      <c r="J4" s="33"/>
      <c r="K4" s="33"/>
      <c r="L4" s="28"/>
      <c r="M4" s="50"/>
      <c r="N4" s="32"/>
    </row>
    <row r="5" spans="1:16" s="6" customFormat="1" x14ac:dyDescent="0.25">
      <c r="A5" s="71">
        <f t="shared" ref="A5:A7" si="1">A4+1</f>
        <v>4</v>
      </c>
      <c r="B5" s="26"/>
      <c r="C5" s="25"/>
      <c r="D5" s="25"/>
      <c r="E5" s="25"/>
      <c r="F5" s="27"/>
      <c r="G5" s="21"/>
      <c r="H5" s="21"/>
      <c r="I5" s="22"/>
      <c r="J5" s="33"/>
      <c r="K5" s="33"/>
      <c r="L5" s="28"/>
      <c r="M5" s="50"/>
      <c r="N5" s="32"/>
    </row>
    <row r="6" spans="1:16" s="6" customFormat="1" x14ac:dyDescent="0.25">
      <c r="A6" s="71">
        <f t="shared" si="1"/>
        <v>5</v>
      </c>
      <c r="B6" s="26"/>
      <c r="C6" s="25"/>
      <c r="D6" s="25"/>
      <c r="E6" s="25"/>
      <c r="F6" s="27"/>
      <c r="G6" s="21"/>
      <c r="H6" s="21"/>
      <c r="I6" s="22"/>
      <c r="J6" s="33"/>
      <c r="K6" s="33"/>
      <c r="L6" s="28"/>
      <c r="M6" s="50"/>
      <c r="N6" s="19"/>
    </row>
    <row r="7" spans="1:16" s="6" customFormat="1" ht="15.75" thickBot="1" x14ac:dyDescent="0.3">
      <c r="A7" s="71">
        <f t="shared" si="1"/>
        <v>6</v>
      </c>
      <c r="B7" s="41"/>
      <c r="C7" s="42"/>
      <c r="D7" s="42"/>
      <c r="E7" s="42"/>
      <c r="F7" s="43"/>
      <c r="G7" s="23"/>
      <c r="H7" s="23"/>
      <c r="I7" s="24"/>
      <c r="J7" s="44"/>
      <c r="K7" s="49"/>
      <c r="L7" s="45"/>
      <c r="M7" s="52"/>
      <c r="N7" s="19"/>
      <c r="O7" s="4"/>
      <c r="P7" s="4"/>
    </row>
    <row r="8" spans="1:16" s="6" customFormat="1" ht="15.75" thickBot="1" x14ac:dyDescent="0.3">
      <c r="A8" s="81" t="s">
        <v>0</v>
      </c>
      <c r="B8" s="82"/>
      <c r="C8" s="82"/>
      <c r="D8" s="82"/>
      <c r="E8" s="83"/>
      <c r="F8" s="46">
        <f>SUM(F2:F7)</f>
        <v>0</v>
      </c>
      <c r="G8" s="46"/>
      <c r="H8" s="46"/>
      <c r="I8" s="47"/>
      <c r="J8" s="48">
        <f>SUM(J2:J7)</f>
        <v>0</v>
      </c>
      <c r="K8" s="48"/>
      <c r="L8" s="51">
        <f>SUM(L2:L7)</f>
        <v>5260</v>
      </c>
      <c r="M8" s="54"/>
      <c r="N8" s="53"/>
    </row>
    <row r="9" spans="1:16" ht="15.75" thickBot="1" x14ac:dyDescent="0.3">
      <c r="B9" s="16"/>
      <c r="C9" s="1"/>
      <c r="D9" s="1"/>
      <c r="E9" s="1"/>
      <c r="F9" s="2"/>
      <c r="G9" s="3"/>
      <c r="H9" s="3"/>
      <c r="I9" s="2"/>
      <c r="J9" s="7"/>
      <c r="K9" s="7"/>
    </row>
    <row r="10" spans="1:16" ht="15.75" thickBot="1" x14ac:dyDescent="0.3">
      <c r="B10" s="66" t="s">
        <v>5</v>
      </c>
      <c r="C10" s="67" t="s">
        <v>9</v>
      </c>
      <c r="D10" s="67" t="s">
        <v>10</v>
      </c>
      <c r="E10" s="67" t="s">
        <v>13</v>
      </c>
      <c r="F10" s="68" t="s">
        <v>14</v>
      </c>
      <c r="G10" s="3"/>
      <c r="H10" s="56"/>
      <c r="I10" s="56"/>
      <c r="J10" s="8"/>
      <c r="K10" s="8"/>
    </row>
    <row r="11" spans="1:16" x14ac:dyDescent="0.25">
      <c r="B11" s="34">
        <v>45748</v>
      </c>
      <c r="C11" s="70" t="s">
        <v>23</v>
      </c>
      <c r="D11" s="31" t="s">
        <v>15</v>
      </c>
      <c r="E11" s="31" t="s">
        <v>22</v>
      </c>
      <c r="F11" s="72">
        <v>-73.739999999999995</v>
      </c>
      <c r="G11" s="3"/>
      <c r="H11" s="29"/>
      <c r="I11" s="29"/>
      <c r="J11" s="8"/>
      <c r="K11" s="8"/>
    </row>
    <row r="12" spans="1:16" x14ac:dyDescent="0.25">
      <c r="B12" s="35"/>
      <c r="C12" s="18"/>
      <c r="D12" s="31"/>
      <c r="E12" s="25"/>
      <c r="F12" s="73"/>
      <c r="G12" s="9"/>
      <c r="H12" s="56"/>
      <c r="I12" s="56"/>
      <c r="J12" s="8"/>
      <c r="K12" s="8"/>
      <c r="L12" s="10"/>
    </row>
    <row r="13" spans="1:16" x14ac:dyDescent="0.25">
      <c r="B13" s="35"/>
      <c r="C13" s="18"/>
      <c r="D13" s="31"/>
      <c r="E13" s="25"/>
      <c r="F13" s="73"/>
      <c r="G13" s="9"/>
      <c r="H13" s="58"/>
      <c r="I13" s="58"/>
      <c r="J13" s="8"/>
      <c r="K13" s="8"/>
      <c r="L13" s="7"/>
    </row>
    <row r="14" spans="1:16" x14ac:dyDescent="0.25">
      <c r="B14" s="35"/>
      <c r="C14" s="18"/>
      <c r="D14" s="31"/>
      <c r="E14" s="25"/>
      <c r="F14" s="73"/>
      <c r="G14" s="9"/>
      <c r="H14" s="57"/>
      <c r="I14" s="57"/>
      <c r="J14" s="8"/>
      <c r="K14" s="8"/>
    </row>
    <row r="15" spans="1:16" x14ac:dyDescent="0.25">
      <c r="B15" s="35"/>
      <c r="C15" s="18"/>
      <c r="D15" s="31"/>
      <c r="E15" s="25"/>
      <c r="F15" s="73"/>
      <c r="G15" s="9"/>
      <c r="H15" s="11"/>
      <c r="I15" s="12"/>
      <c r="J15" s="13"/>
      <c r="K15" s="13"/>
    </row>
    <row r="16" spans="1:16" x14ac:dyDescent="0.25">
      <c r="B16" s="36"/>
      <c r="C16" s="30"/>
      <c r="D16" s="30"/>
      <c r="E16" s="30"/>
      <c r="F16" s="74">
        <f>SUM(F11:F15)</f>
        <v>-73.739999999999995</v>
      </c>
      <c r="G16" s="3"/>
    </row>
    <row r="17" spans="2:8" ht="10.5" customHeight="1" x14ac:dyDescent="0.25">
      <c r="B17" s="37"/>
      <c r="C17" s="38"/>
      <c r="D17" s="38"/>
      <c r="E17" s="55"/>
      <c r="F17" s="76"/>
    </row>
    <row r="18" spans="2:8" x14ac:dyDescent="0.25">
      <c r="B18" s="84" t="s">
        <v>1</v>
      </c>
      <c r="C18" s="85"/>
      <c r="D18" s="85"/>
      <c r="E18" s="86"/>
      <c r="F18" s="74">
        <f>F16</f>
        <v>-73.739999999999995</v>
      </c>
    </row>
    <row r="19" spans="2:8" x14ac:dyDescent="0.25">
      <c r="B19" s="84" t="s">
        <v>2</v>
      </c>
      <c r="C19" s="85"/>
      <c r="D19" s="85"/>
      <c r="E19" s="86"/>
      <c r="F19" s="74">
        <f>J8</f>
        <v>0</v>
      </c>
    </row>
    <row r="20" spans="2:8" ht="15.75" thickBot="1" x14ac:dyDescent="0.3">
      <c r="B20" s="87" t="s">
        <v>3</v>
      </c>
      <c r="C20" s="88"/>
      <c r="D20" s="88"/>
      <c r="E20" s="89"/>
      <c r="F20" s="75">
        <f>F18-F19</f>
        <v>-73.739999999999995</v>
      </c>
    </row>
    <row r="26" spans="2:8" x14ac:dyDescent="0.25">
      <c r="H26" s="9"/>
    </row>
  </sheetData>
  <autoFilter ref="A1:N8"/>
  <mergeCells count="4">
    <mergeCell ref="A8:E8"/>
    <mergeCell ref="B18:E18"/>
    <mergeCell ref="B19:E19"/>
    <mergeCell ref="B20:E20"/>
  </mergeCells>
  <conditionalFormatting sqref="F20">
    <cfRule type="cellIs" dxfId="39" priority="4" operator="lessThan">
      <formula>1</formula>
    </cfRule>
    <cfRule type="cellIs" dxfId="38" priority="5" operator="greaterThan">
      <formula>1</formula>
    </cfRule>
  </conditionalFormatting>
  <conditionalFormatting sqref="F11">
    <cfRule type="cellIs" dxfId="37" priority="1" operator="lessThan">
      <formula>0</formula>
    </cfRule>
    <cfRule type="cellIs" dxfId="36" priority="2" operator="greaterThan">
      <formula>0</formula>
    </cfRule>
    <cfRule type="cellIs" dxfId="35" priority="3" operator="greaterThan">
      <formula>0</formula>
    </cfRule>
  </conditionalFormatting>
  <pageMargins left="0.26" right="0.19685039370078741" top="0.39" bottom="0.27559055118110237" header="0.15748031496062992" footer="0.23622047244094491"/>
  <pageSetup paperSize="9" scale="4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zoomScaleNormal="10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7.85546875" style="6" customWidth="1"/>
    <col min="2" max="2" width="10.5703125" style="17" customWidth="1"/>
    <col min="3" max="3" width="43.7109375" style="5" bestFit="1" customWidth="1"/>
    <col min="4" max="4" width="12.28515625" style="5" bestFit="1" customWidth="1"/>
    <col min="5" max="5" width="14.5703125" style="6" bestFit="1" customWidth="1"/>
    <col min="6" max="6" width="14.28515625" style="5" bestFit="1" customWidth="1"/>
    <col min="7" max="7" width="31.140625" style="14" bestFit="1" customWidth="1"/>
    <col min="8" max="8" width="12.5703125" style="14" bestFit="1" customWidth="1"/>
    <col min="9" max="9" width="28.85546875" style="5" bestFit="1" customWidth="1"/>
    <col min="10" max="10" width="23.7109375" style="5" bestFit="1" customWidth="1"/>
    <col min="11" max="11" width="18.5703125" style="5" customWidth="1"/>
    <col min="12" max="12" width="19.7109375" style="5" bestFit="1" customWidth="1"/>
    <col min="13" max="13" width="18.140625" style="5" customWidth="1"/>
    <col min="14" max="14" width="36.85546875" style="5" bestFit="1" customWidth="1"/>
    <col min="15" max="16" width="10.85546875" style="5" customWidth="1"/>
    <col min="17" max="16384" width="9.140625" style="5"/>
  </cols>
  <sheetData>
    <row r="1" spans="1:16" s="15" customFormat="1" ht="15.75" customHeight="1" thickBot="1" x14ac:dyDescent="0.25">
      <c r="A1" s="59" t="s">
        <v>8</v>
      </c>
      <c r="B1" s="60" t="s">
        <v>5</v>
      </c>
      <c r="C1" s="61" t="s">
        <v>9</v>
      </c>
      <c r="D1" s="61" t="s">
        <v>16</v>
      </c>
      <c r="E1" s="62" t="s">
        <v>7</v>
      </c>
      <c r="F1" s="62" t="s">
        <v>11</v>
      </c>
      <c r="G1" s="61" t="s">
        <v>18</v>
      </c>
      <c r="H1" s="61" t="s">
        <v>12</v>
      </c>
      <c r="I1" s="62" t="s">
        <v>17</v>
      </c>
      <c r="J1" s="63" t="s">
        <v>6</v>
      </c>
      <c r="K1" s="63" t="s">
        <v>19</v>
      </c>
      <c r="L1" s="63" t="s">
        <v>4</v>
      </c>
      <c r="M1" s="64" t="s">
        <v>5</v>
      </c>
      <c r="N1" s="65" t="s">
        <v>20</v>
      </c>
    </row>
    <row r="2" spans="1:16" s="6" customFormat="1" x14ac:dyDescent="0.25">
      <c r="A2" s="69">
        <v>1</v>
      </c>
      <c r="B2" s="26">
        <v>45807</v>
      </c>
      <c r="C2" s="25" t="s">
        <v>21</v>
      </c>
      <c r="D2" s="25" t="s">
        <v>15</v>
      </c>
      <c r="E2" s="25" t="s">
        <v>26</v>
      </c>
      <c r="F2" s="27">
        <v>7.18</v>
      </c>
      <c r="G2" s="19" t="s">
        <v>27</v>
      </c>
      <c r="H2" s="21" t="s">
        <v>28</v>
      </c>
      <c r="I2" s="20">
        <v>67</v>
      </c>
      <c r="J2" s="79">
        <f t="shared" ref="J2" si="0">F2*I2</f>
        <v>481.06</v>
      </c>
      <c r="K2" s="33" t="s">
        <v>29</v>
      </c>
      <c r="L2" s="28">
        <v>1050</v>
      </c>
      <c r="M2" s="50">
        <v>45807</v>
      </c>
      <c r="N2" s="32" t="s">
        <v>30</v>
      </c>
    </row>
    <row r="3" spans="1:16" s="6" customFormat="1" x14ac:dyDescent="0.25">
      <c r="A3" s="71">
        <f>A2+1</f>
        <v>2</v>
      </c>
      <c r="B3" s="26"/>
      <c r="C3" s="25"/>
      <c r="D3" s="25"/>
      <c r="E3" s="25"/>
      <c r="F3" s="27"/>
      <c r="G3" s="19"/>
      <c r="H3" s="21"/>
      <c r="I3" s="20"/>
      <c r="J3" s="33"/>
      <c r="K3" s="33"/>
      <c r="L3" s="28"/>
      <c r="M3" s="50"/>
      <c r="N3" s="32"/>
    </row>
    <row r="4" spans="1:16" s="6" customFormat="1" x14ac:dyDescent="0.25">
      <c r="A4" s="71">
        <f>A3+1</f>
        <v>3</v>
      </c>
      <c r="B4" s="26"/>
      <c r="C4" s="25"/>
      <c r="D4" s="25"/>
      <c r="E4" s="25"/>
      <c r="F4" s="27"/>
      <c r="G4" s="19"/>
      <c r="H4" s="21"/>
      <c r="I4" s="20"/>
      <c r="J4" s="33"/>
      <c r="K4" s="33"/>
      <c r="L4" s="28"/>
      <c r="M4" s="50"/>
      <c r="N4" s="32"/>
    </row>
    <row r="5" spans="1:16" s="6" customFormat="1" x14ac:dyDescent="0.25">
      <c r="A5" s="40">
        <f t="shared" ref="A5:A9" si="1">A4+1</f>
        <v>4</v>
      </c>
      <c r="B5" s="26"/>
      <c r="C5" s="25"/>
      <c r="D5" s="25"/>
      <c r="E5" s="25"/>
      <c r="F5" s="27"/>
      <c r="G5" s="19"/>
      <c r="H5" s="21"/>
      <c r="I5" s="20"/>
      <c r="J5" s="33"/>
      <c r="K5" s="33"/>
      <c r="L5" s="28"/>
      <c r="M5" s="50"/>
      <c r="N5" s="32"/>
    </row>
    <row r="6" spans="1:16" s="6" customFormat="1" x14ac:dyDescent="0.25">
      <c r="A6" s="40">
        <f t="shared" si="1"/>
        <v>5</v>
      </c>
      <c r="B6" s="26"/>
      <c r="C6" s="25"/>
      <c r="D6" s="25"/>
      <c r="E6" s="25"/>
      <c r="F6" s="27"/>
      <c r="G6" s="19"/>
      <c r="H6" s="21"/>
      <c r="I6" s="20"/>
      <c r="J6" s="33"/>
      <c r="K6" s="33"/>
      <c r="L6" s="28"/>
      <c r="M6" s="50"/>
      <c r="N6" s="32"/>
    </row>
    <row r="7" spans="1:16" s="6" customFormat="1" x14ac:dyDescent="0.25">
      <c r="A7" s="40">
        <f t="shared" si="1"/>
        <v>6</v>
      </c>
      <c r="B7" s="26"/>
      <c r="C7" s="25"/>
      <c r="D7" s="25"/>
      <c r="E7" s="25"/>
      <c r="F7" s="27"/>
      <c r="G7" s="19"/>
      <c r="H7" s="21"/>
      <c r="I7" s="20"/>
      <c r="J7" s="33"/>
      <c r="K7" s="33"/>
      <c r="L7" s="28"/>
      <c r="M7" s="50"/>
      <c r="N7" s="32"/>
    </row>
    <row r="8" spans="1:16" s="6" customFormat="1" x14ac:dyDescent="0.25">
      <c r="A8" s="40">
        <f t="shared" si="1"/>
        <v>7</v>
      </c>
      <c r="B8" s="26"/>
      <c r="C8" s="25"/>
      <c r="D8" s="25"/>
      <c r="E8" s="25"/>
      <c r="F8" s="27"/>
      <c r="G8" s="21"/>
      <c r="H8" s="21"/>
      <c r="I8" s="22"/>
      <c r="J8" s="33"/>
      <c r="K8" s="33"/>
      <c r="L8" s="28"/>
      <c r="M8" s="50"/>
      <c r="N8" s="19"/>
    </row>
    <row r="9" spans="1:16" s="6" customFormat="1" ht="15.75" thickBot="1" x14ac:dyDescent="0.3">
      <c r="A9" s="40">
        <f t="shared" si="1"/>
        <v>8</v>
      </c>
      <c r="B9" s="41"/>
      <c r="C9" s="42"/>
      <c r="D9" s="42"/>
      <c r="E9" s="42"/>
      <c r="F9" s="43"/>
      <c r="G9" s="23"/>
      <c r="H9" s="23"/>
      <c r="I9" s="24"/>
      <c r="J9" s="44"/>
      <c r="K9" s="49"/>
      <c r="L9" s="45"/>
      <c r="M9" s="52"/>
      <c r="N9" s="19"/>
      <c r="O9" s="4"/>
      <c r="P9" s="4"/>
    </row>
    <row r="10" spans="1:16" s="6" customFormat="1" ht="15.75" thickBot="1" x14ac:dyDescent="0.3">
      <c r="A10" s="81" t="s">
        <v>0</v>
      </c>
      <c r="B10" s="82"/>
      <c r="C10" s="82"/>
      <c r="D10" s="82"/>
      <c r="E10" s="83"/>
      <c r="F10" s="46">
        <f>SUM(F2:F9)</f>
        <v>7.18</v>
      </c>
      <c r="G10" s="46"/>
      <c r="H10" s="46"/>
      <c r="I10" s="47"/>
      <c r="J10" s="48">
        <f>SUM(J2:J9)</f>
        <v>481.06</v>
      </c>
      <c r="K10" s="48"/>
      <c r="L10" s="51">
        <f>SUM(L2:L9)</f>
        <v>1050</v>
      </c>
      <c r="M10" s="54"/>
      <c r="N10" s="53"/>
    </row>
    <row r="11" spans="1:16" ht="15.75" thickBot="1" x14ac:dyDescent="0.3">
      <c r="B11" s="16"/>
      <c r="C11" s="1"/>
      <c r="D11" s="1"/>
      <c r="E11" s="1"/>
      <c r="F11" s="2"/>
      <c r="G11" s="3"/>
      <c r="H11" s="3"/>
      <c r="I11" s="2"/>
      <c r="J11" s="7"/>
      <c r="K11" s="7"/>
    </row>
    <row r="12" spans="1:16" ht="15.75" thickBot="1" x14ac:dyDescent="0.3">
      <c r="B12" s="66" t="s">
        <v>5</v>
      </c>
      <c r="C12" s="67" t="s">
        <v>9</v>
      </c>
      <c r="D12" s="67" t="s">
        <v>10</v>
      </c>
      <c r="E12" s="67" t="s">
        <v>13</v>
      </c>
      <c r="F12" s="68" t="s">
        <v>14</v>
      </c>
      <c r="G12" s="3"/>
      <c r="H12" s="56"/>
      <c r="I12" s="56"/>
      <c r="J12" s="8"/>
      <c r="K12" s="8"/>
    </row>
    <row r="13" spans="1:16" x14ac:dyDescent="0.25">
      <c r="B13" s="34">
        <v>45778</v>
      </c>
      <c r="C13" s="70" t="s">
        <v>23</v>
      </c>
      <c r="D13" s="31" t="s">
        <v>15</v>
      </c>
      <c r="E13" s="31" t="s">
        <v>22</v>
      </c>
      <c r="F13" s="72">
        <v>-73.739999999999995</v>
      </c>
      <c r="G13" s="3"/>
      <c r="H13" s="29"/>
      <c r="I13" s="29"/>
      <c r="J13" s="8"/>
      <c r="K13" s="8"/>
    </row>
    <row r="14" spans="1:16" x14ac:dyDescent="0.25">
      <c r="B14" s="35"/>
      <c r="C14" s="18"/>
      <c r="D14" s="31"/>
      <c r="E14" s="25"/>
      <c r="F14" s="73"/>
      <c r="G14" s="9"/>
      <c r="H14" s="56"/>
      <c r="I14" s="56"/>
      <c r="J14" s="8"/>
      <c r="K14" s="8"/>
      <c r="L14" s="10"/>
    </row>
    <row r="15" spans="1:16" x14ac:dyDescent="0.25">
      <c r="B15" s="35"/>
      <c r="C15" s="18"/>
      <c r="D15" s="31"/>
      <c r="E15" s="25"/>
      <c r="F15" s="73"/>
      <c r="G15" s="9"/>
      <c r="H15" s="58"/>
      <c r="I15" s="58"/>
      <c r="J15" s="8"/>
      <c r="K15" s="8"/>
      <c r="L15" s="7"/>
    </row>
    <row r="16" spans="1:16" x14ac:dyDescent="0.25">
      <c r="B16" s="35"/>
      <c r="C16" s="18"/>
      <c r="D16" s="31"/>
      <c r="E16" s="25"/>
      <c r="F16" s="73"/>
      <c r="G16" s="9"/>
      <c r="H16" s="57"/>
      <c r="I16" s="57"/>
      <c r="J16" s="8"/>
      <c r="K16" s="8"/>
    </row>
    <row r="17" spans="2:11" x14ac:dyDescent="0.25">
      <c r="B17" s="35"/>
      <c r="C17" s="18"/>
      <c r="D17" s="31"/>
      <c r="E17" s="25"/>
      <c r="F17" s="73"/>
      <c r="G17" s="9"/>
      <c r="H17" s="11"/>
      <c r="I17" s="12"/>
      <c r="J17" s="13"/>
      <c r="K17" s="13"/>
    </row>
    <row r="18" spans="2:11" x14ac:dyDescent="0.25">
      <c r="B18" s="36"/>
      <c r="C18" s="30"/>
      <c r="D18" s="30"/>
      <c r="E18" s="30"/>
      <c r="F18" s="74">
        <f>SUM(F13:F17)</f>
        <v>-73.739999999999995</v>
      </c>
      <c r="G18" s="3"/>
    </row>
    <row r="19" spans="2:11" ht="10.5" customHeight="1" x14ac:dyDescent="0.25">
      <c r="B19" s="37"/>
      <c r="C19" s="38"/>
      <c r="D19" s="38"/>
      <c r="E19" s="55"/>
      <c r="F19" s="39"/>
    </row>
    <row r="20" spans="2:11" x14ac:dyDescent="0.25">
      <c r="B20" s="84" t="s">
        <v>1</v>
      </c>
      <c r="C20" s="85"/>
      <c r="D20" s="85"/>
      <c r="E20" s="86"/>
      <c r="F20" s="74">
        <f>F18</f>
        <v>-73.739999999999995</v>
      </c>
    </row>
    <row r="21" spans="2:11" x14ac:dyDescent="0.25">
      <c r="B21" s="84" t="s">
        <v>2</v>
      </c>
      <c r="C21" s="85"/>
      <c r="D21" s="85"/>
      <c r="E21" s="86"/>
      <c r="F21" s="74">
        <f>J10</f>
        <v>481.06</v>
      </c>
    </row>
    <row r="22" spans="2:11" ht="15.75" thickBot="1" x14ac:dyDescent="0.3">
      <c r="B22" s="87" t="s">
        <v>3</v>
      </c>
      <c r="C22" s="88"/>
      <c r="D22" s="88"/>
      <c r="E22" s="89"/>
      <c r="F22" s="75">
        <f>F20-F21</f>
        <v>-554.79999999999995</v>
      </c>
    </row>
    <row r="28" spans="2:11" x14ac:dyDescent="0.25">
      <c r="H28" s="9"/>
    </row>
  </sheetData>
  <autoFilter ref="A1:N10"/>
  <mergeCells count="4">
    <mergeCell ref="A10:E10"/>
    <mergeCell ref="B20:E20"/>
    <mergeCell ref="B21:E21"/>
    <mergeCell ref="B22:E22"/>
  </mergeCells>
  <conditionalFormatting sqref="F22">
    <cfRule type="cellIs" dxfId="34" priority="4" operator="lessThan">
      <formula>1</formula>
    </cfRule>
    <cfRule type="cellIs" dxfId="33" priority="5" operator="greaterThan">
      <formula>1</formula>
    </cfRule>
  </conditionalFormatting>
  <conditionalFormatting sqref="F13">
    <cfRule type="cellIs" dxfId="32" priority="1" operator="lessThan">
      <formula>0</formula>
    </cfRule>
    <cfRule type="cellIs" dxfId="31" priority="2" operator="greaterThan">
      <formula>0</formula>
    </cfRule>
    <cfRule type="cellIs" dxfId="30" priority="3" operator="greaterThan">
      <formula>0</formula>
    </cfRule>
  </conditionalFormatting>
  <pageMargins left="0.26" right="0.19685039370078741" top="0.39" bottom="0.27559055118110237" header="0.15748031496062992" footer="0.23622047244094491"/>
  <pageSetup paperSize="9" scale="4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zoomScaleNormal="100" workbookViewId="0">
      <pane ySplit="1" topLeftCell="A2" activePane="bottomLeft" state="frozen"/>
      <selection pane="bottomLeft" activeCell="F2" sqref="F2:F4"/>
    </sheetView>
  </sheetViews>
  <sheetFormatPr defaultRowHeight="15" x14ac:dyDescent="0.25"/>
  <cols>
    <col min="1" max="1" width="7.85546875" style="6" customWidth="1"/>
    <col min="2" max="2" width="10.5703125" style="17" customWidth="1"/>
    <col min="3" max="3" width="43.7109375" style="5" bestFit="1" customWidth="1"/>
    <col min="4" max="4" width="12.28515625" style="5" bestFit="1" customWidth="1"/>
    <col min="5" max="5" width="14.5703125" style="6" bestFit="1" customWidth="1"/>
    <col min="6" max="6" width="14.28515625" style="5" bestFit="1" customWidth="1"/>
    <col min="7" max="7" width="31.140625" style="14" bestFit="1" customWidth="1"/>
    <col min="8" max="8" width="12.5703125" style="14" bestFit="1" customWidth="1"/>
    <col min="9" max="9" width="28.85546875" style="5" bestFit="1" customWidth="1"/>
    <col min="10" max="10" width="23.7109375" style="5" bestFit="1" customWidth="1"/>
    <col min="11" max="11" width="18.5703125" style="5" customWidth="1"/>
    <col min="12" max="12" width="19.7109375" style="5" bestFit="1" customWidth="1"/>
    <col min="13" max="13" width="18.140625" style="5" customWidth="1"/>
    <col min="14" max="14" width="36.85546875" style="5" bestFit="1" customWidth="1"/>
    <col min="15" max="16" width="10.85546875" style="5" customWidth="1"/>
    <col min="17" max="16384" width="9.140625" style="5"/>
  </cols>
  <sheetData>
    <row r="1" spans="1:16" s="15" customFormat="1" ht="15.75" customHeight="1" thickBot="1" x14ac:dyDescent="0.25">
      <c r="A1" s="59" t="s">
        <v>8</v>
      </c>
      <c r="B1" s="60" t="s">
        <v>5</v>
      </c>
      <c r="C1" s="61" t="s">
        <v>9</v>
      </c>
      <c r="D1" s="61" t="s">
        <v>16</v>
      </c>
      <c r="E1" s="62" t="s">
        <v>7</v>
      </c>
      <c r="F1" s="62" t="s">
        <v>11</v>
      </c>
      <c r="G1" s="61" t="s">
        <v>18</v>
      </c>
      <c r="H1" s="61" t="s">
        <v>12</v>
      </c>
      <c r="I1" s="62" t="s">
        <v>17</v>
      </c>
      <c r="J1" s="63" t="s">
        <v>6</v>
      </c>
      <c r="K1" s="63" t="s">
        <v>19</v>
      </c>
      <c r="L1" s="63" t="s">
        <v>4</v>
      </c>
      <c r="M1" s="64" t="s">
        <v>5</v>
      </c>
      <c r="N1" s="65" t="s">
        <v>20</v>
      </c>
    </row>
    <row r="2" spans="1:16" s="6" customFormat="1" x14ac:dyDescent="0.25">
      <c r="A2" s="69">
        <v>1</v>
      </c>
      <c r="B2" s="26">
        <v>45812</v>
      </c>
      <c r="C2" s="25" t="s">
        <v>21</v>
      </c>
      <c r="D2" s="25" t="s">
        <v>15</v>
      </c>
      <c r="E2" s="25" t="s">
        <v>31</v>
      </c>
      <c r="F2" s="77">
        <v>13.43</v>
      </c>
      <c r="G2" s="19" t="s">
        <v>32</v>
      </c>
      <c r="H2" s="21" t="s">
        <v>33</v>
      </c>
      <c r="I2" s="20">
        <v>67</v>
      </c>
      <c r="J2" s="33">
        <f t="shared" ref="J2" si="0">F2*I2</f>
        <v>899.81</v>
      </c>
      <c r="K2" s="33" t="s">
        <v>34</v>
      </c>
      <c r="L2" s="28">
        <v>8950</v>
      </c>
      <c r="M2" s="50">
        <v>45814</v>
      </c>
      <c r="N2" s="32" t="s">
        <v>27</v>
      </c>
    </row>
    <row r="3" spans="1:16" s="6" customFormat="1" x14ac:dyDescent="0.25">
      <c r="A3" s="71">
        <f>A2+1</f>
        <v>2</v>
      </c>
      <c r="B3" s="26">
        <v>45829</v>
      </c>
      <c r="C3" s="25" t="s">
        <v>21</v>
      </c>
      <c r="D3" s="25" t="s">
        <v>15</v>
      </c>
      <c r="E3" s="25" t="s">
        <v>22</v>
      </c>
      <c r="F3" s="77">
        <v>12.97</v>
      </c>
      <c r="G3" s="19" t="s">
        <v>36</v>
      </c>
      <c r="H3" s="21" t="s">
        <v>33</v>
      </c>
      <c r="I3" s="20">
        <v>67</v>
      </c>
      <c r="J3" s="33">
        <f t="shared" ref="J3:J4" si="1">F3*I3</f>
        <v>868.99</v>
      </c>
      <c r="K3" s="33" t="s">
        <v>35</v>
      </c>
      <c r="L3" s="28">
        <v>12670</v>
      </c>
      <c r="M3" s="50">
        <v>45818</v>
      </c>
      <c r="N3" s="32" t="s">
        <v>32</v>
      </c>
    </row>
    <row r="4" spans="1:16" s="6" customFormat="1" x14ac:dyDescent="0.25">
      <c r="A4" s="71">
        <f>A3+1</f>
        <v>3</v>
      </c>
      <c r="B4" s="26">
        <v>45834</v>
      </c>
      <c r="C4" s="25" t="s">
        <v>21</v>
      </c>
      <c r="D4" s="25" t="s">
        <v>15</v>
      </c>
      <c r="E4" s="25" t="s">
        <v>37</v>
      </c>
      <c r="F4" s="77">
        <v>9</v>
      </c>
      <c r="G4" s="19" t="s">
        <v>39</v>
      </c>
      <c r="H4" s="21" t="s">
        <v>38</v>
      </c>
      <c r="I4" s="20">
        <v>100</v>
      </c>
      <c r="J4" s="33">
        <f t="shared" si="1"/>
        <v>900</v>
      </c>
      <c r="K4" s="33" t="s">
        <v>40</v>
      </c>
      <c r="L4" s="28">
        <v>13100</v>
      </c>
      <c r="M4" s="50">
        <v>45838</v>
      </c>
      <c r="N4" s="32" t="s">
        <v>41</v>
      </c>
    </row>
    <row r="5" spans="1:16" s="6" customFormat="1" x14ac:dyDescent="0.25">
      <c r="A5" s="40">
        <f t="shared" ref="A5:A9" si="2">A4+1</f>
        <v>4</v>
      </c>
      <c r="B5" s="26"/>
      <c r="C5" s="25"/>
      <c r="D5" s="25"/>
      <c r="E5" s="25"/>
      <c r="F5" s="77"/>
      <c r="G5" s="19"/>
      <c r="H5" s="21"/>
      <c r="I5" s="20"/>
      <c r="J5" s="33"/>
      <c r="K5" s="33"/>
      <c r="L5" s="28"/>
      <c r="M5" s="50"/>
      <c r="N5" s="32"/>
    </row>
    <row r="6" spans="1:16" s="6" customFormat="1" x14ac:dyDescent="0.25">
      <c r="A6" s="40">
        <f t="shared" si="2"/>
        <v>5</v>
      </c>
      <c r="B6" s="26"/>
      <c r="C6" s="25"/>
      <c r="D6" s="25"/>
      <c r="E6" s="25"/>
      <c r="F6" s="77"/>
      <c r="G6" s="19"/>
      <c r="H6" s="21"/>
      <c r="I6" s="20"/>
      <c r="J6" s="33"/>
      <c r="K6" s="33"/>
      <c r="L6" s="28"/>
      <c r="M6" s="50"/>
      <c r="N6" s="32"/>
    </row>
    <row r="7" spans="1:16" s="6" customFormat="1" x14ac:dyDescent="0.25">
      <c r="A7" s="40">
        <f t="shared" si="2"/>
        <v>6</v>
      </c>
      <c r="B7" s="26"/>
      <c r="C7" s="25"/>
      <c r="D7" s="25"/>
      <c r="E7" s="25"/>
      <c r="F7" s="77"/>
      <c r="G7" s="19"/>
      <c r="H7" s="21"/>
      <c r="I7" s="20"/>
      <c r="J7" s="33"/>
      <c r="K7" s="33"/>
      <c r="L7" s="28"/>
      <c r="M7" s="50"/>
      <c r="N7" s="32"/>
    </row>
    <row r="8" spans="1:16" s="6" customFormat="1" x14ac:dyDescent="0.25">
      <c r="A8" s="40">
        <f t="shared" si="2"/>
        <v>7</v>
      </c>
      <c r="B8" s="26"/>
      <c r="C8" s="25"/>
      <c r="D8" s="25"/>
      <c r="E8" s="25"/>
      <c r="F8" s="77"/>
      <c r="G8" s="21"/>
      <c r="H8" s="21"/>
      <c r="I8" s="22"/>
      <c r="J8" s="33"/>
      <c r="K8" s="33"/>
      <c r="L8" s="28"/>
      <c r="M8" s="50"/>
      <c r="N8" s="19"/>
    </row>
    <row r="9" spans="1:16" s="6" customFormat="1" ht="15.75" thickBot="1" x14ac:dyDescent="0.3">
      <c r="A9" s="40">
        <f t="shared" si="2"/>
        <v>8</v>
      </c>
      <c r="B9" s="41"/>
      <c r="C9" s="42"/>
      <c r="D9" s="42"/>
      <c r="E9" s="42"/>
      <c r="F9" s="78"/>
      <c r="G9" s="23"/>
      <c r="H9" s="23"/>
      <c r="I9" s="24"/>
      <c r="J9" s="44"/>
      <c r="K9" s="49"/>
      <c r="L9" s="45"/>
      <c r="M9" s="52"/>
      <c r="N9" s="19"/>
      <c r="O9" s="4"/>
      <c r="P9" s="4"/>
    </row>
    <row r="10" spans="1:16" s="6" customFormat="1" ht="15.75" thickBot="1" x14ac:dyDescent="0.3">
      <c r="A10" s="81" t="s">
        <v>0</v>
      </c>
      <c r="B10" s="82"/>
      <c r="C10" s="82"/>
      <c r="D10" s="82"/>
      <c r="E10" s="83"/>
      <c r="F10" s="46">
        <f>SUM(F2:F9)</f>
        <v>35.4</v>
      </c>
      <c r="G10" s="46"/>
      <c r="H10" s="46"/>
      <c r="I10" s="47"/>
      <c r="J10" s="48">
        <f>SUM(J2:J9)</f>
        <v>2668.8</v>
      </c>
      <c r="K10" s="48"/>
      <c r="L10" s="51">
        <f>SUM(L2:L9)</f>
        <v>34720</v>
      </c>
      <c r="M10" s="54"/>
      <c r="N10" s="53"/>
    </row>
    <row r="11" spans="1:16" ht="15.75" thickBot="1" x14ac:dyDescent="0.3">
      <c r="B11" s="16"/>
      <c r="C11" s="1"/>
      <c r="D11" s="1"/>
      <c r="E11" s="1"/>
      <c r="F11" s="2"/>
      <c r="G11" s="3"/>
      <c r="H11" s="3"/>
      <c r="I11" s="2"/>
      <c r="J11" s="7"/>
      <c r="K11" s="7"/>
    </row>
    <row r="12" spans="1:16" ht="15.75" thickBot="1" x14ac:dyDescent="0.3">
      <c r="B12" s="66" t="s">
        <v>5</v>
      </c>
      <c r="C12" s="67" t="s">
        <v>9</v>
      </c>
      <c r="D12" s="67" t="s">
        <v>10</v>
      </c>
      <c r="E12" s="67" t="s">
        <v>13</v>
      </c>
      <c r="F12" s="68" t="s">
        <v>14</v>
      </c>
      <c r="G12" s="3"/>
      <c r="H12" s="56"/>
      <c r="I12" s="56"/>
      <c r="J12" s="8"/>
      <c r="K12" s="8"/>
    </row>
    <row r="13" spans="1:16" x14ac:dyDescent="0.25">
      <c r="B13" s="34">
        <v>45809</v>
      </c>
      <c r="C13" s="70" t="s">
        <v>23</v>
      </c>
      <c r="D13" s="31" t="s">
        <v>15</v>
      </c>
      <c r="E13" s="31" t="s">
        <v>22</v>
      </c>
      <c r="F13" s="72">
        <v>-554.79999999999995</v>
      </c>
      <c r="G13" s="3"/>
      <c r="H13" s="29"/>
      <c r="I13" s="29"/>
      <c r="J13" s="8"/>
      <c r="K13" s="8"/>
    </row>
    <row r="14" spans="1:16" x14ac:dyDescent="0.25">
      <c r="B14" s="35"/>
      <c r="C14" s="18"/>
      <c r="D14" s="31"/>
      <c r="E14" s="25"/>
      <c r="F14" s="73"/>
      <c r="G14" s="9"/>
      <c r="H14" s="56"/>
      <c r="I14" s="56"/>
      <c r="J14" s="8"/>
      <c r="K14" s="8"/>
      <c r="L14" s="10"/>
    </row>
    <row r="15" spans="1:16" x14ac:dyDescent="0.25">
      <c r="B15" s="35"/>
      <c r="C15" s="18"/>
      <c r="D15" s="31"/>
      <c r="E15" s="25"/>
      <c r="F15" s="73"/>
      <c r="G15" s="9"/>
      <c r="H15" s="58"/>
      <c r="I15" s="58"/>
      <c r="J15" s="8"/>
      <c r="K15" s="8"/>
      <c r="L15" s="7"/>
    </row>
    <row r="16" spans="1:16" x14ac:dyDescent="0.25">
      <c r="B16" s="35"/>
      <c r="C16" s="18"/>
      <c r="D16" s="31"/>
      <c r="E16" s="25"/>
      <c r="F16" s="73"/>
      <c r="G16" s="9"/>
      <c r="H16" s="57"/>
      <c r="I16" s="57"/>
      <c r="J16" s="8"/>
      <c r="K16" s="8"/>
    </row>
    <row r="17" spans="2:11" x14ac:dyDescent="0.25">
      <c r="B17" s="35"/>
      <c r="C17" s="18"/>
      <c r="D17" s="31"/>
      <c r="E17" s="25"/>
      <c r="F17" s="73"/>
      <c r="G17" s="9"/>
      <c r="H17" s="11"/>
      <c r="I17" s="12"/>
      <c r="J17" s="13"/>
      <c r="K17" s="13"/>
    </row>
    <row r="18" spans="2:11" x14ac:dyDescent="0.25">
      <c r="B18" s="36"/>
      <c r="C18" s="30"/>
      <c r="D18" s="30"/>
      <c r="E18" s="30"/>
      <c r="F18" s="74">
        <f>SUM(F13:F17)</f>
        <v>-554.79999999999995</v>
      </c>
      <c r="G18" s="3"/>
    </row>
    <row r="19" spans="2:11" ht="10.5" customHeight="1" x14ac:dyDescent="0.25">
      <c r="B19" s="37"/>
      <c r="C19" s="38"/>
      <c r="D19" s="38"/>
      <c r="E19" s="55"/>
      <c r="F19" s="39"/>
    </row>
    <row r="20" spans="2:11" x14ac:dyDescent="0.25">
      <c r="B20" s="84" t="s">
        <v>1</v>
      </c>
      <c r="C20" s="85"/>
      <c r="D20" s="85"/>
      <c r="E20" s="86"/>
      <c r="F20" s="74">
        <f>F18</f>
        <v>-554.79999999999995</v>
      </c>
    </row>
    <row r="21" spans="2:11" x14ac:dyDescent="0.25">
      <c r="B21" s="84" t="s">
        <v>2</v>
      </c>
      <c r="C21" s="85"/>
      <c r="D21" s="85"/>
      <c r="E21" s="86"/>
      <c r="F21" s="74">
        <f>J10</f>
        <v>2668.8</v>
      </c>
    </row>
    <row r="22" spans="2:11" ht="15.75" thickBot="1" x14ac:dyDescent="0.3">
      <c r="B22" s="87" t="s">
        <v>3</v>
      </c>
      <c r="C22" s="88"/>
      <c r="D22" s="88"/>
      <c r="E22" s="89"/>
      <c r="F22" s="75">
        <f>F20-F21</f>
        <v>-3223.6000000000004</v>
      </c>
    </row>
    <row r="28" spans="2:11" x14ac:dyDescent="0.25">
      <c r="H28" s="9"/>
    </row>
  </sheetData>
  <autoFilter ref="A1:N10"/>
  <mergeCells count="4">
    <mergeCell ref="A10:E10"/>
    <mergeCell ref="B20:E20"/>
    <mergeCell ref="B21:E21"/>
    <mergeCell ref="B22:E22"/>
  </mergeCells>
  <conditionalFormatting sqref="F22">
    <cfRule type="cellIs" dxfId="29" priority="4" operator="lessThan">
      <formula>1</formula>
    </cfRule>
    <cfRule type="cellIs" dxfId="28" priority="5" operator="greaterThan">
      <formula>1</formula>
    </cfRule>
  </conditionalFormatting>
  <conditionalFormatting sqref="F13">
    <cfRule type="cellIs" dxfId="27" priority="1" operator="lessThan">
      <formula>0</formula>
    </cfRule>
    <cfRule type="cellIs" dxfId="26" priority="2" operator="greaterThan">
      <formula>0</formula>
    </cfRule>
    <cfRule type="cellIs" dxfId="25" priority="3" operator="greaterThan">
      <formula>0</formula>
    </cfRule>
  </conditionalFormatting>
  <pageMargins left="0.26" right="0.19685039370078741" top="0.39" bottom="0.27559055118110237" header="0.15748031496062992" footer="0.23622047244094491"/>
  <pageSetup paperSize="9" scale="4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P28"/>
  <sheetViews>
    <sheetView zoomScaleNormal="100" workbookViewId="0">
      <pane ySplit="1" topLeftCell="A2" activePane="bottomLeft" state="frozen"/>
      <selection pane="bottomLeft" activeCell="F2" sqref="F2"/>
    </sheetView>
  </sheetViews>
  <sheetFormatPr defaultRowHeight="15" x14ac:dyDescent="0.25"/>
  <cols>
    <col min="1" max="1" width="7.85546875" style="6" customWidth="1"/>
    <col min="2" max="2" width="10.5703125" style="17" customWidth="1"/>
    <col min="3" max="3" width="43.7109375" style="5" bestFit="1" customWidth="1"/>
    <col min="4" max="4" width="12.28515625" style="5" bestFit="1" customWidth="1"/>
    <col min="5" max="5" width="14.5703125" style="6" bestFit="1" customWidth="1"/>
    <col min="6" max="6" width="14.28515625" style="5" bestFit="1" customWidth="1"/>
    <col min="7" max="7" width="31.140625" style="14" bestFit="1" customWidth="1"/>
    <col min="8" max="8" width="12.5703125" style="14" bestFit="1" customWidth="1"/>
    <col min="9" max="9" width="24" style="5" customWidth="1"/>
    <col min="10" max="10" width="23.7109375" style="5" bestFit="1" customWidth="1"/>
    <col min="11" max="11" width="18.5703125" style="5" customWidth="1"/>
    <col min="12" max="12" width="19.7109375" style="5" bestFit="1" customWidth="1"/>
    <col min="13" max="13" width="18.140625" style="5" customWidth="1"/>
    <col min="14" max="14" width="36.85546875" style="5" bestFit="1" customWidth="1"/>
    <col min="15" max="16" width="10.85546875" style="5" customWidth="1"/>
    <col min="17" max="16384" width="9.140625" style="5"/>
  </cols>
  <sheetData>
    <row r="1" spans="1:16" s="15" customFormat="1" ht="15.75" customHeight="1" thickBot="1" x14ac:dyDescent="0.25">
      <c r="A1" s="59" t="s">
        <v>8</v>
      </c>
      <c r="B1" s="60" t="s">
        <v>5</v>
      </c>
      <c r="C1" s="61" t="s">
        <v>9</v>
      </c>
      <c r="D1" s="61" t="s">
        <v>16</v>
      </c>
      <c r="E1" s="62" t="s">
        <v>7</v>
      </c>
      <c r="F1" s="62" t="s">
        <v>11</v>
      </c>
      <c r="G1" s="61" t="s">
        <v>18</v>
      </c>
      <c r="H1" s="61" t="s">
        <v>12</v>
      </c>
      <c r="I1" s="62" t="s">
        <v>17</v>
      </c>
      <c r="J1" s="63" t="s">
        <v>6</v>
      </c>
      <c r="K1" s="63" t="s">
        <v>19</v>
      </c>
      <c r="L1" s="63" t="s">
        <v>4</v>
      </c>
      <c r="M1" s="64" t="s">
        <v>5</v>
      </c>
      <c r="N1" s="65" t="s">
        <v>20</v>
      </c>
    </row>
    <row r="2" spans="1:16" s="6" customFormat="1" x14ac:dyDescent="0.25">
      <c r="A2" s="69">
        <v>1</v>
      </c>
      <c r="B2" s="26">
        <v>45856</v>
      </c>
      <c r="C2" s="25" t="s">
        <v>21</v>
      </c>
      <c r="D2" s="25" t="s">
        <v>15</v>
      </c>
      <c r="E2" s="25" t="s">
        <v>47</v>
      </c>
      <c r="F2" s="77">
        <v>5.18</v>
      </c>
      <c r="G2" s="19" t="s">
        <v>48</v>
      </c>
      <c r="H2" s="21" t="s">
        <v>33</v>
      </c>
      <c r="I2" s="20">
        <v>67</v>
      </c>
      <c r="J2" s="79">
        <f t="shared" ref="J2" si="0">F2*I2</f>
        <v>347.06</v>
      </c>
      <c r="K2" s="33" t="s">
        <v>42</v>
      </c>
      <c r="L2" s="28">
        <v>9730</v>
      </c>
      <c r="M2" s="50">
        <v>45839</v>
      </c>
      <c r="N2" s="32" t="s">
        <v>39</v>
      </c>
    </row>
    <row r="3" spans="1:16" s="6" customFormat="1" x14ac:dyDescent="0.25">
      <c r="A3" s="71">
        <f>A2+1</f>
        <v>2</v>
      </c>
      <c r="B3" s="26">
        <v>45857</v>
      </c>
      <c r="C3" s="25" t="s">
        <v>21</v>
      </c>
      <c r="D3" s="25" t="s">
        <v>15</v>
      </c>
      <c r="E3" s="25" t="s">
        <v>49</v>
      </c>
      <c r="F3" s="77">
        <v>5.68</v>
      </c>
      <c r="G3" s="19" t="s">
        <v>48</v>
      </c>
      <c r="H3" s="21" t="s">
        <v>33</v>
      </c>
      <c r="I3" s="20">
        <v>67</v>
      </c>
      <c r="J3" s="79">
        <f t="shared" ref="J3" si="1">F3*I3</f>
        <v>380.56</v>
      </c>
      <c r="K3" s="33" t="s">
        <v>43</v>
      </c>
      <c r="L3" s="28">
        <v>610</v>
      </c>
      <c r="M3" s="50">
        <v>45839</v>
      </c>
      <c r="N3" s="32" t="s">
        <v>44</v>
      </c>
    </row>
    <row r="4" spans="1:16" s="6" customFormat="1" x14ac:dyDescent="0.25">
      <c r="A4" s="71">
        <f>A3+1</f>
        <v>3</v>
      </c>
      <c r="B4" s="26">
        <v>45860</v>
      </c>
      <c r="C4" s="25" t="s">
        <v>21</v>
      </c>
      <c r="D4" s="25" t="s">
        <v>15</v>
      </c>
      <c r="E4" s="25" t="s">
        <v>50</v>
      </c>
      <c r="F4" s="77">
        <v>5.55</v>
      </c>
      <c r="G4" s="19" t="s">
        <v>48</v>
      </c>
      <c r="H4" s="21" t="s">
        <v>33</v>
      </c>
      <c r="I4" s="20">
        <v>67</v>
      </c>
      <c r="J4" s="79">
        <f t="shared" ref="J4" si="2">F4*I4</f>
        <v>371.84999999999997</v>
      </c>
      <c r="K4" s="33" t="s">
        <v>51</v>
      </c>
      <c r="L4" s="28">
        <v>5360</v>
      </c>
      <c r="M4" s="50">
        <v>45861</v>
      </c>
      <c r="N4" s="19" t="s">
        <v>48</v>
      </c>
    </row>
    <row r="5" spans="1:16" s="6" customFormat="1" x14ac:dyDescent="0.25">
      <c r="A5" s="40">
        <f t="shared" ref="A5:A9" si="3">A4+1</f>
        <v>4</v>
      </c>
      <c r="B5" s="26">
        <v>45863</v>
      </c>
      <c r="C5" s="25" t="s">
        <v>21</v>
      </c>
      <c r="D5" s="25" t="s">
        <v>15</v>
      </c>
      <c r="E5" s="25" t="s">
        <v>52</v>
      </c>
      <c r="F5" s="77">
        <v>5.73</v>
      </c>
      <c r="G5" s="19" t="s">
        <v>48</v>
      </c>
      <c r="H5" s="21" t="s">
        <v>33</v>
      </c>
      <c r="I5" s="20">
        <v>67</v>
      </c>
      <c r="J5" s="79">
        <f t="shared" ref="J5" si="4">F5*I5</f>
        <v>383.91</v>
      </c>
      <c r="K5" s="33" t="s">
        <v>53</v>
      </c>
      <c r="L5" s="28">
        <v>4150</v>
      </c>
      <c r="M5" s="50">
        <v>45868</v>
      </c>
      <c r="N5" s="19" t="s">
        <v>48</v>
      </c>
    </row>
    <row r="6" spans="1:16" s="6" customFormat="1" x14ac:dyDescent="0.25">
      <c r="A6" s="40">
        <f t="shared" si="3"/>
        <v>5</v>
      </c>
      <c r="B6" s="26"/>
      <c r="C6" s="25"/>
      <c r="D6" s="25"/>
      <c r="E6" s="25"/>
      <c r="F6" s="77"/>
      <c r="G6" s="19"/>
      <c r="H6" s="21"/>
      <c r="I6" s="20"/>
      <c r="J6" s="79"/>
      <c r="K6" s="33"/>
      <c r="L6" s="28"/>
      <c r="M6" s="50"/>
      <c r="N6" s="32"/>
    </row>
    <row r="7" spans="1:16" s="6" customFormat="1" x14ac:dyDescent="0.25">
      <c r="A7" s="40">
        <f t="shared" si="3"/>
        <v>6</v>
      </c>
      <c r="B7" s="26"/>
      <c r="C7" s="25"/>
      <c r="D7" s="25"/>
      <c r="E7" s="25"/>
      <c r="F7" s="77"/>
      <c r="G7" s="19"/>
      <c r="H7" s="21"/>
      <c r="I7" s="20"/>
      <c r="J7" s="79"/>
      <c r="K7" s="33"/>
      <c r="L7" s="28"/>
      <c r="M7" s="50"/>
      <c r="N7" s="32"/>
    </row>
    <row r="8" spans="1:16" s="6" customFormat="1" x14ac:dyDescent="0.25">
      <c r="A8" s="40">
        <f t="shared" si="3"/>
        <v>7</v>
      </c>
      <c r="B8" s="26"/>
      <c r="C8" s="25"/>
      <c r="D8" s="25"/>
      <c r="E8" s="25"/>
      <c r="F8" s="77"/>
      <c r="G8" s="21"/>
      <c r="H8" s="21"/>
      <c r="I8" s="22"/>
      <c r="J8" s="79"/>
      <c r="K8" s="33"/>
      <c r="L8" s="28"/>
      <c r="M8" s="50"/>
      <c r="N8" s="19"/>
    </row>
    <row r="9" spans="1:16" s="6" customFormat="1" ht="15.75" thickBot="1" x14ac:dyDescent="0.3">
      <c r="A9" s="40">
        <f t="shared" si="3"/>
        <v>8</v>
      </c>
      <c r="B9" s="41"/>
      <c r="C9" s="42"/>
      <c r="D9" s="42"/>
      <c r="E9" s="42"/>
      <c r="F9" s="78"/>
      <c r="G9" s="23"/>
      <c r="H9" s="23"/>
      <c r="I9" s="24"/>
      <c r="J9" s="79"/>
      <c r="K9" s="49"/>
      <c r="L9" s="45"/>
      <c r="M9" s="52"/>
      <c r="N9" s="19"/>
      <c r="O9" s="4"/>
      <c r="P9" s="4"/>
    </row>
    <row r="10" spans="1:16" s="6" customFormat="1" ht="15.75" thickBot="1" x14ac:dyDescent="0.3">
      <c r="A10" s="81" t="s">
        <v>0</v>
      </c>
      <c r="B10" s="82"/>
      <c r="C10" s="82"/>
      <c r="D10" s="82"/>
      <c r="E10" s="83"/>
      <c r="F10" s="46">
        <f>SUM(F2:F9)</f>
        <v>22.14</v>
      </c>
      <c r="G10" s="46"/>
      <c r="H10" s="46"/>
      <c r="I10" s="47"/>
      <c r="J10" s="80">
        <f>SUM(J2:J9)</f>
        <v>1483.38</v>
      </c>
      <c r="K10" s="48"/>
      <c r="L10" s="51">
        <f>SUM(L2:L9)</f>
        <v>19850</v>
      </c>
      <c r="M10" s="54"/>
      <c r="N10" s="53"/>
    </row>
    <row r="11" spans="1:16" ht="15.75" thickBot="1" x14ac:dyDescent="0.3">
      <c r="B11" s="16"/>
      <c r="C11" s="1"/>
      <c r="D11" s="1"/>
      <c r="E11" s="1"/>
      <c r="F11" s="2"/>
      <c r="G11" s="3"/>
      <c r="H11" s="3"/>
      <c r="I11" s="2"/>
      <c r="J11" s="7"/>
      <c r="K11" s="7"/>
    </row>
    <row r="12" spans="1:16" ht="15.75" thickBot="1" x14ac:dyDescent="0.3">
      <c r="B12" s="66" t="s">
        <v>5</v>
      </c>
      <c r="C12" s="67" t="s">
        <v>9</v>
      </c>
      <c r="D12" s="67" t="s">
        <v>10</v>
      </c>
      <c r="E12" s="67" t="s">
        <v>13</v>
      </c>
      <c r="F12" s="68" t="s">
        <v>14</v>
      </c>
      <c r="G12" s="3"/>
      <c r="H12" s="56"/>
      <c r="I12" s="56"/>
      <c r="J12" s="8"/>
      <c r="K12" s="8"/>
    </row>
    <row r="13" spans="1:16" x14ac:dyDescent="0.25">
      <c r="B13" s="34">
        <v>45839</v>
      </c>
      <c r="C13" s="70" t="s">
        <v>23</v>
      </c>
      <c r="D13" s="31" t="s">
        <v>15</v>
      </c>
      <c r="E13" s="31" t="s">
        <v>22</v>
      </c>
      <c r="F13" s="72">
        <v>-3223.6</v>
      </c>
      <c r="G13" s="3"/>
      <c r="H13" s="29"/>
      <c r="I13" s="29"/>
      <c r="J13" s="8"/>
      <c r="K13" s="8"/>
    </row>
    <row r="14" spans="1:16" x14ac:dyDescent="0.25">
      <c r="B14" s="35">
        <v>45848</v>
      </c>
      <c r="C14" s="18" t="s">
        <v>46</v>
      </c>
      <c r="D14" s="31" t="s">
        <v>15</v>
      </c>
      <c r="E14" s="25" t="s">
        <v>45</v>
      </c>
      <c r="F14" s="73">
        <v>3030</v>
      </c>
      <c r="G14" s="9"/>
      <c r="H14" s="56"/>
      <c r="I14" s="56"/>
      <c r="J14" s="8"/>
      <c r="K14" s="8"/>
      <c r="L14" s="10"/>
    </row>
    <row r="15" spans="1:16" x14ac:dyDescent="0.25">
      <c r="B15" s="35"/>
      <c r="C15" s="18"/>
      <c r="D15" s="31"/>
      <c r="E15" s="25"/>
      <c r="F15" s="73"/>
      <c r="G15" s="9"/>
      <c r="H15" s="58"/>
      <c r="I15" s="58"/>
      <c r="J15" s="8"/>
      <c r="K15" s="8"/>
      <c r="L15" s="7"/>
    </row>
    <row r="16" spans="1:16" x14ac:dyDescent="0.25">
      <c r="B16" s="35"/>
      <c r="C16" s="18"/>
      <c r="D16" s="31"/>
      <c r="E16" s="25"/>
      <c r="F16" s="73"/>
      <c r="G16" s="9"/>
      <c r="H16" s="57"/>
      <c r="I16" s="57"/>
      <c r="J16" s="8"/>
      <c r="K16" s="8"/>
    </row>
    <row r="17" spans="2:11" x14ac:dyDescent="0.25">
      <c r="B17" s="35"/>
      <c r="C17" s="18"/>
      <c r="D17" s="31"/>
      <c r="E17" s="25"/>
      <c r="F17" s="73"/>
      <c r="G17" s="9"/>
      <c r="H17" s="11"/>
      <c r="I17" s="12"/>
      <c r="J17" s="13"/>
      <c r="K17" s="13"/>
    </row>
    <row r="18" spans="2:11" x14ac:dyDescent="0.25">
      <c r="B18" s="36"/>
      <c r="C18" s="30"/>
      <c r="D18" s="30"/>
      <c r="E18" s="30"/>
      <c r="F18" s="74">
        <f>SUM(F13:F17)</f>
        <v>-193.59999999999991</v>
      </c>
      <c r="G18" s="3"/>
    </row>
    <row r="19" spans="2:11" ht="10.5" customHeight="1" x14ac:dyDescent="0.25">
      <c r="B19" s="37"/>
      <c r="C19" s="38"/>
      <c r="D19" s="38"/>
      <c r="E19" s="55"/>
      <c r="F19" s="39"/>
    </row>
    <row r="20" spans="2:11" x14ac:dyDescent="0.25">
      <c r="B20" s="84" t="s">
        <v>1</v>
      </c>
      <c r="C20" s="85"/>
      <c r="D20" s="85"/>
      <c r="E20" s="86"/>
      <c r="F20" s="74">
        <f>F18</f>
        <v>-193.59999999999991</v>
      </c>
    </row>
    <row r="21" spans="2:11" x14ac:dyDescent="0.25">
      <c r="B21" s="84" t="s">
        <v>2</v>
      </c>
      <c r="C21" s="85"/>
      <c r="D21" s="85"/>
      <c r="E21" s="86"/>
      <c r="F21" s="74">
        <f>J10</f>
        <v>1483.38</v>
      </c>
    </row>
    <row r="22" spans="2:11" ht="15.75" thickBot="1" x14ac:dyDescent="0.3">
      <c r="B22" s="87" t="s">
        <v>3</v>
      </c>
      <c r="C22" s="88"/>
      <c r="D22" s="88"/>
      <c r="E22" s="89"/>
      <c r="F22" s="75">
        <f>F20-F21</f>
        <v>-1676.98</v>
      </c>
    </row>
    <row r="28" spans="2:11" x14ac:dyDescent="0.25">
      <c r="H28" s="9"/>
    </row>
  </sheetData>
  <autoFilter ref="B1:N1"/>
  <mergeCells count="4">
    <mergeCell ref="A10:E10"/>
    <mergeCell ref="B20:E20"/>
    <mergeCell ref="B21:E21"/>
    <mergeCell ref="B22:E22"/>
  </mergeCells>
  <conditionalFormatting sqref="F22">
    <cfRule type="cellIs" dxfId="24" priority="4" operator="lessThan">
      <formula>1</formula>
    </cfRule>
    <cfRule type="cellIs" dxfId="23" priority="5" operator="greaterThan">
      <formula>1</formula>
    </cfRule>
  </conditionalFormatting>
  <conditionalFormatting sqref="F13">
    <cfRule type="cellIs" dxfId="22" priority="1" operator="lessThan">
      <formula>0</formula>
    </cfRule>
    <cfRule type="cellIs" dxfId="21" priority="2" operator="greaterThan">
      <formula>0</formula>
    </cfRule>
    <cfRule type="cellIs" dxfId="20" priority="3" operator="greaterThan">
      <formula>0</formula>
    </cfRule>
  </conditionalFormatting>
  <pageMargins left="0.26" right="0.19685039370078741" top="0.39" bottom="0.27559055118110237" header="0.15748031496062992" footer="0.23622047244094491"/>
  <pageSetup paperSize="9" scale="4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8"/>
  <sheetViews>
    <sheetView zoomScaleNormal="100" workbookViewId="0">
      <pane ySplit="1" topLeftCell="A2" activePane="bottomLeft" state="frozen"/>
      <selection pane="bottomLeft" activeCell="C14" sqref="C14:D14"/>
    </sheetView>
  </sheetViews>
  <sheetFormatPr defaultRowHeight="15" x14ac:dyDescent="0.25"/>
  <cols>
    <col min="1" max="1" width="7.85546875" style="6" customWidth="1"/>
    <col min="2" max="2" width="10.5703125" style="17" customWidth="1"/>
    <col min="3" max="3" width="43.7109375" style="5" bestFit="1" customWidth="1"/>
    <col min="4" max="4" width="12.28515625" style="5" bestFit="1" customWidth="1"/>
    <col min="5" max="5" width="14.5703125" style="6" bestFit="1" customWidth="1"/>
    <col min="6" max="6" width="14.28515625" style="5" bestFit="1" customWidth="1"/>
    <col min="7" max="7" width="31.140625" style="14" bestFit="1" customWidth="1"/>
    <col min="8" max="8" width="12.5703125" style="14" bestFit="1" customWidth="1"/>
    <col min="9" max="9" width="24" style="5" customWidth="1"/>
    <col min="10" max="10" width="23.7109375" style="5" bestFit="1" customWidth="1"/>
    <col min="11" max="11" width="18.5703125" style="5" customWidth="1"/>
    <col min="12" max="12" width="19.7109375" style="5" bestFit="1" customWidth="1"/>
    <col min="13" max="13" width="18.140625" style="5" customWidth="1"/>
    <col min="14" max="14" width="36.85546875" style="5" bestFit="1" customWidth="1"/>
    <col min="15" max="16" width="10.85546875" style="5" customWidth="1"/>
    <col min="17" max="16384" width="9.140625" style="5"/>
  </cols>
  <sheetData>
    <row r="1" spans="1:14" s="15" customFormat="1" ht="15.75" customHeight="1" thickBot="1" x14ac:dyDescent="0.25">
      <c r="A1" s="59" t="s">
        <v>8</v>
      </c>
      <c r="B1" s="60" t="s">
        <v>5</v>
      </c>
      <c r="C1" s="61" t="s">
        <v>9</v>
      </c>
      <c r="D1" s="61" t="s">
        <v>16</v>
      </c>
      <c r="E1" s="62" t="s">
        <v>7</v>
      </c>
      <c r="F1" s="62" t="s">
        <v>11</v>
      </c>
      <c r="G1" s="61" t="s">
        <v>18</v>
      </c>
      <c r="H1" s="61" t="s">
        <v>12</v>
      </c>
      <c r="I1" s="62" t="s">
        <v>17</v>
      </c>
      <c r="J1" s="63" t="s">
        <v>6</v>
      </c>
      <c r="K1" s="63" t="s">
        <v>19</v>
      </c>
      <c r="L1" s="63" t="s">
        <v>4</v>
      </c>
      <c r="M1" s="64" t="s">
        <v>5</v>
      </c>
      <c r="N1" s="65" t="s">
        <v>20</v>
      </c>
    </row>
    <row r="2" spans="1:14" s="6" customFormat="1" x14ac:dyDescent="0.25">
      <c r="A2" s="69">
        <v>1</v>
      </c>
      <c r="B2" s="26">
        <v>45871</v>
      </c>
      <c r="C2" s="25" t="s">
        <v>21</v>
      </c>
      <c r="D2" s="25" t="s">
        <v>15</v>
      </c>
      <c r="E2" s="25" t="s">
        <v>54</v>
      </c>
      <c r="F2" s="77">
        <v>5.79</v>
      </c>
      <c r="G2" s="19" t="s">
        <v>48</v>
      </c>
      <c r="H2" s="21" t="s">
        <v>33</v>
      </c>
      <c r="I2" s="20">
        <v>67</v>
      </c>
      <c r="J2" s="79">
        <f t="shared" ref="J2" si="0">F2*I2</f>
        <v>387.93</v>
      </c>
      <c r="K2" s="33" t="s">
        <v>57</v>
      </c>
      <c r="L2" s="28">
        <v>2330</v>
      </c>
      <c r="M2" s="50">
        <v>45871</v>
      </c>
      <c r="N2" s="32" t="s">
        <v>48</v>
      </c>
    </row>
    <row r="3" spans="1:14" s="6" customFormat="1" x14ac:dyDescent="0.25">
      <c r="A3" s="71">
        <f>A2+1</f>
        <v>2</v>
      </c>
      <c r="B3" s="26">
        <v>45871</v>
      </c>
      <c r="C3" s="25" t="s">
        <v>21</v>
      </c>
      <c r="D3" s="25" t="s">
        <v>15</v>
      </c>
      <c r="E3" s="25" t="s">
        <v>55</v>
      </c>
      <c r="F3" s="77">
        <v>5.76</v>
      </c>
      <c r="G3" s="19" t="s">
        <v>48</v>
      </c>
      <c r="H3" s="21" t="s">
        <v>33</v>
      </c>
      <c r="I3" s="20">
        <v>67</v>
      </c>
      <c r="J3" s="79">
        <f t="shared" ref="J3:J4" si="1">F3*I3</f>
        <v>385.91999999999996</v>
      </c>
      <c r="K3" s="33" t="s">
        <v>58</v>
      </c>
      <c r="L3" s="28">
        <v>5640</v>
      </c>
      <c r="M3" s="50">
        <v>45871</v>
      </c>
      <c r="N3" s="32" t="s">
        <v>48</v>
      </c>
    </row>
    <row r="4" spans="1:14" s="6" customFormat="1" x14ac:dyDescent="0.25">
      <c r="A4" s="71">
        <f>A3+1</f>
        <v>3</v>
      </c>
      <c r="B4" s="26">
        <v>45876</v>
      </c>
      <c r="C4" s="25" t="s">
        <v>21</v>
      </c>
      <c r="D4" s="25" t="s">
        <v>15</v>
      </c>
      <c r="E4" s="25" t="s">
        <v>56</v>
      </c>
      <c r="F4" s="77">
        <v>5.72</v>
      </c>
      <c r="G4" s="19" t="s">
        <v>48</v>
      </c>
      <c r="H4" s="21" t="s">
        <v>33</v>
      </c>
      <c r="I4" s="20">
        <v>67</v>
      </c>
      <c r="J4" s="79">
        <f t="shared" si="1"/>
        <v>383.24</v>
      </c>
      <c r="K4" s="33" t="s">
        <v>59</v>
      </c>
      <c r="L4" s="28">
        <v>5640</v>
      </c>
      <c r="M4" s="50">
        <v>45874</v>
      </c>
      <c r="N4" s="32" t="s">
        <v>48</v>
      </c>
    </row>
    <row r="5" spans="1:14" s="6" customFormat="1" x14ac:dyDescent="0.25">
      <c r="A5" s="40">
        <f t="shared" ref="A5:A9" si="2">A4+1</f>
        <v>4</v>
      </c>
      <c r="B5" s="26"/>
      <c r="C5" s="25"/>
      <c r="D5" s="25"/>
      <c r="E5" s="25"/>
      <c r="F5" s="77"/>
      <c r="G5" s="19"/>
      <c r="H5" s="21"/>
      <c r="I5" s="20"/>
      <c r="J5" s="79"/>
      <c r="K5" s="33" t="s">
        <v>60</v>
      </c>
      <c r="L5" s="28">
        <v>5350</v>
      </c>
      <c r="M5" s="50">
        <v>45876</v>
      </c>
      <c r="N5" s="32" t="s">
        <v>48</v>
      </c>
    </row>
    <row r="6" spans="1:14" s="6" customFormat="1" x14ac:dyDescent="0.25">
      <c r="A6" s="40">
        <f t="shared" si="2"/>
        <v>5</v>
      </c>
      <c r="B6" s="26"/>
      <c r="C6" s="25"/>
      <c r="D6" s="25"/>
      <c r="E6" s="25"/>
      <c r="F6" s="77"/>
      <c r="G6" s="19"/>
      <c r="H6" s="21"/>
      <c r="I6" s="20"/>
      <c r="J6" s="79"/>
      <c r="K6" s="33" t="s">
        <v>61</v>
      </c>
      <c r="L6" s="28">
        <v>5180</v>
      </c>
      <c r="M6" s="50">
        <v>45876</v>
      </c>
      <c r="N6" s="32" t="s">
        <v>48</v>
      </c>
    </row>
    <row r="7" spans="1:14" s="6" customFormat="1" x14ac:dyDescent="0.25">
      <c r="A7" s="40">
        <f t="shared" si="2"/>
        <v>6</v>
      </c>
      <c r="B7" s="26"/>
      <c r="C7" s="25"/>
      <c r="D7" s="25"/>
      <c r="E7" s="25"/>
      <c r="F7" s="77"/>
      <c r="G7" s="19"/>
      <c r="H7" s="21"/>
      <c r="I7" s="20"/>
      <c r="J7" s="79"/>
      <c r="K7" s="33" t="s">
        <v>63</v>
      </c>
      <c r="L7" s="28">
        <v>5970</v>
      </c>
      <c r="M7" s="50">
        <v>45884</v>
      </c>
      <c r="N7" s="32" t="s">
        <v>48</v>
      </c>
    </row>
    <row r="8" spans="1:14" s="6" customFormat="1" x14ac:dyDescent="0.25">
      <c r="A8" s="40">
        <f t="shared" si="2"/>
        <v>7</v>
      </c>
      <c r="B8" s="26"/>
      <c r="C8" s="25"/>
      <c r="D8" s="25"/>
      <c r="E8" s="25"/>
      <c r="F8" s="77"/>
      <c r="G8" s="19"/>
      <c r="H8" s="21"/>
      <c r="I8" s="20"/>
      <c r="J8" s="79"/>
      <c r="K8" s="33"/>
      <c r="L8" s="28"/>
      <c r="M8" s="50"/>
      <c r="N8" s="32"/>
    </row>
    <row r="9" spans="1:14" s="6" customFormat="1" ht="15.75" thickBot="1" x14ac:dyDescent="0.3">
      <c r="A9" s="40">
        <f t="shared" si="2"/>
        <v>8</v>
      </c>
      <c r="B9" s="26"/>
      <c r="C9" s="25"/>
      <c r="D9" s="25"/>
      <c r="E9" s="25"/>
      <c r="F9" s="77"/>
      <c r="G9" s="21"/>
      <c r="H9" s="21"/>
      <c r="I9" s="22"/>
      <c r="J9" s="79"/>
      <c r="K9" s="33"/>
      <c r="L9" s="28"/>
      <c r="M9" s="50"/>
      <c r="N9" s="19"/>
    </row>
    <row r="10" spans="1:14" s="6" customFormat="1" ht="15.75" thickBot="1" x14ac:dyDescent="0.3">
      <c r="A10" s="81" t="s">
        <v>0</v>
      </c>
      <c r="B10" s="82"/>
      <c r="C10" s="82"/>
      <c r="D10" s="82"/>
      <c r="E10" s="83"/>
      <c r="F10" s="46">
        <f>SUM(F2:F9)</f>
        <v>17.27</v>
      </c>
      <c r="G10" s="46"/>
      <c r="H10" s="46"/>
      <c r="I10" s="47"/>
      <c r="J10" s="80">
        <f>SUM(J2:J9)</f>
        <v>1157.0899999999999</v>
      </c>
      <c r="K10" s="48"/>
      <c r="L10" s="51">
        <f>SUM(L2:L9)</f>
        <v>30110</v>
      </c>
      <c r="M10" s="54"/>
      <c r="N10" s="53"/>
    </row>
    <row r="11" spans="1:14" ht="15.75" thickBot="1" x14ac:dyDescent="0.3">
      <c r="B11" s="16"/>
      <c r="C11" s="1"/>
      <c r="D11" s="1"/>
      <c r="E11" s="1"/>
      <c r="F11" s="2"/>
      <c r="G11" s="3"/>
      <c r="H11" s="3"/>
      <c r="I11" s="2"/>
      <c r="J11" s="7"/>
      <c r="K11" s="7"/>
    </row>
    <row r="12" spans="1:14" ht="15.75" thickBot="1" x14ac:dyDescent="0.3">
      <c r="B12" s="66" t="s">
        <v>5</v>
      </c>
      <c r="C12" s="67" t="s">
        <v>9</v>
      </c>
      <c r="D12" s="67" t="s">
        <v>10</v>
      </c>
      <c r="E12" s="67" t="s">
        <v>13</v>
      </c>
      <c r="F12" s="68" t="s">
        <v>14</v>
      </c>
      <c r="G12" s="3"/>
      <c r="H12" s="56"/>
      <c r="I12" s="56"/>
      <c r="J12" s="8"/>
      <c r="K12" s="8"/>
    </row>
    <row r="13" spans="1:14" x14ac:dyDescent="0.25">
      <c r="B13" s="34">
        <v>45870</v>
      </c>
      <c r="C13" s="70" t="s">
        <v>23</v>
      </c>
      <c r="D13" s="31" t="s">
        <v>15</v>
      </c>
      <c r="E13" s="31" t="s">
        <v>22</v>
      </c>
      <c r="F13" s="72">
        <v>-1676.98</v>
      </c>
      <c r="G13" s="3"/>
      <c r="H13" s="29"/>
      <c r="I13" s="29"/>
      <c r="J13" s="8"/>
      <c r="K13" s="8"/>
    </row>
    <row r="14" spans="1:14" x14ac:dyDescent="0.25">
      <c r="B14" s="35">
        <v>45884</v>
      </c>
      <c r="C14" s="18" t="s">
        <v>46</v>
      </c>
      <c r="D14" s="31" t="s">
        <v>15</v>
      </c>
      <c r="E14" s="25" t="s">
        <v>62</v>
      </c>
      <c r="F14" s="73">
        <v>1980</v>
      </c>
      <c r="G14" s="9"/>
      <c r="H14" s="56"/>
      <c r="I14" s="56"/>
      <c r="J14" s="8"/>
      <c r="K14" s="8"/>
      <c r="L14" s="10"/>
    </row>
    <row r="15" spans="1:14" x14ac:dyDescent="0.25">
      <c r="B15" s="35"/>
      <c r="C15" s="18"/>
      <c r="D15" s="31"/>
      <c r="E15" s="25"/>
      <c r="F15" s="73"/>
      <c r="G15" s="9"/>
      <c r="H15" s="58"/>
      <c r="I15" s="58"/>
      <c r="J15" s="8"/>
      <c r="K15" s="8"/>
      <c r="L15" s="7"/>
    </row>
    <row r="16" spans="1:14" x14ac:dyDescent="0.25">
      <c r="B16" s="35"/>
      <c r="C16" s="18"/>
      <c r="D16" s="31"/>
      <c r="E16" s="25"/>
      <c r="F16" s="73"/>
      <c r="G16" s="9"/>
      <c r="H16" s="57"/>
      <c r="I16" s="57"/>
      <c r="J16" s="8"/>
      <c r="K16" s="8"/>
    </row>
    <row r="17" spans="2:11" x14ac:dyDescent="0.25">
      <c r="B17" s="35"/>
      <c r="C17" s="18"/>
      <c r="D17" s="31"/>
      <c r="E17" s="25"/>
      <c r="F17" s="73"/>
      <c r="G17" s="9"/>
      <c r="H17" s="11"/>
      <c r="I17" s="12"/>
      <c r="J17" s="13"/>
      <c r="K17" s="13"/>
    </row>
    <row r="18" spans="2:11" x14ac:dyDescent="0.25">
      <c r="B18" s="36"/>
      <c r="C18" s="30"/>
      <c r="D18" s="30"/>
      <c r="E18" s="30"/>
      <c r="F18" s="74">
        <f>SUM(F13:F17)</f>
        <v>303.02</v>
      </c>
      <c r="G18" s="3"/>
    </row>
    <row r="19" spans="2:11" ht="10.5" customHeight="1" x14ac:dyDescent="0.25">
      <c r="B19" s="37"/>
      <c r="C19" s="38"/>
      <c r="D19" s="38"/>
      <c r="E19" s="55"/>
      <c r="F19" s="39"/>
    </row>
    <row r="20" spans="2:11" x14ac:dyDescent="0.25">
      <c r="B20" s="84" t="s">
        <v>1</v>
      </c>
      <c r="C20" s="85"/>
      <c r="D20" s="85"/>
      <c r="E20" s="86"/>
      <c r="F20" s="74">
        <f>F18</f>
        <v>303.02</v>
      </c>
    </row>
    <row r="21" spans="2:11" x14ac:dyDescent="0.25">
      <c r="B21" s="84" t="s">
        <v>2</v>
      </c>
      <c r="C21" s="85"/>
      <c r="D21" s="85"/>
      <c r="E21" s="86"/>
      <c r="F21" s="74">
        <f>J10</f>
        <v>1157.0899999999999</v>
      </c>
    </row>
    <row r="22" spans="2:11" ht="15.75" thickBot="1" x14ac:dyDescent="0.3">
      <c r="B22" s="87" t="s">
        <v>3</v>
      </c>
      <c r="C22" s="88"/>
      <c r="D22" s="88"/>
      <c r="E22" s="89"/>
      <c r="F22" s="75">
        <f>F20-F21</f>
        <v>-854.06999999999994</v>
      </c>
    </row>
    <row r="28" spans="2:11" x14ac:dyDescent="0.25">
      <c r="H28" s="9"/>
    </row>
  </sheetData>
  <autoFilter ref="A1:N10"/>
  <mergeCells count="4">
    <mergeCell ref="A10:E10"/>
    <mergeCell ref="B20:E20"/>
    <mergeCell ref="B21:E21"/>
    <mergeCell ref="B22:E22"/>
  </mergeCells>
  <conditionalFormatting sqref="F22">
    <cfRule type="cellIs" dxfId="19" priority="4" operator="lessThan">
      <formula>1</formula>
    </cfRule>
    <cfRule type="cellIs" dxfId="18" priority="5" operator="greaterThan">
      <formula>1</formula>
    </cfRule>
  </conditionalFormatting>
  <conditionalFormatting sqref="F13">
    <cfRule type="cellIs" dxfId="17" priority="1" operator="lessThan">
      <formula>0</formula>
    </cfRule>
    <cfRule type="cellIs" dxfId="16" priority="2" operator="greaterThan">
      <formula>0</formula>
    </cfRule>
    <cfRule type="cellIs" dxfId="15" priority="3" operator="greaterThan">
      <formula>0</formula>
    </cfRule>
  </conditionalFormatting>
  <pageMargins left="0.26" right="0.19685039370078741" top="0.39" bottom="0.27559055118110237" header="0.15748031496062992" footer="0.23622047244094491"/>
  <pageSetup paperSize="9" scale="4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zoomScaleNormal="100" workbookViewId="0">
      <pane ySplit="1" topLeftCell="A2" activePane="bottomLeft" state="frozen"/>
      <selection pane="bottomLeft" activeCell="C2" sqref="C2"/>
    </sheetView>
  </sheetViews>
  <sheetFormatPr defaultRowHeight="15" x14ac:dyDescent="0.25"/>
  <cols>
    <col min="1" max="1" width="7.85546875" style="6" customWidth="1"/>
    <col min="2" max="2" width="10.140625" style="17" bestFit="1" customWidth="1"/>
    <col min="3" max="3" width="43.7109375" style="5" bestFit="1" customWidth="1"/>
    <col min="4" max="4" width="12.28515625" style="5" bestFit="1" customWidth="1"/>
    <col min="5" max="5" width="14.5703125" style="6" bestFit="1" customWidth="1"/>
    <col min="6" max="6" width="14.28515625" style="5" bestFit="1" customWidth="1"/>
    <col min="7" max="7" width="21.42578125" style="14" bestFit="1" customWidth="1"/>
    <col min="8" max="8" width="12.5703125" style="14" bestFit="1" customWidth="1"/>
    <col min="9" max="9" width="24" style="5" customWidth="1"/>
    <col min="10" max="10" width="23.7109375" style="5" bestFit="1" customWidth="1"/>
    <col min="11" max="11" width="18.5703125" style="5" customWidth="1"/>
    <col min="12" max="12" width="19.7109375" style="5" bestFit="1" customWidth="1"/>
    <col min="13" max="13" width="18.140625" style="5" customWidth="1"/>
    <col min="14" max="14" width="36.85546875" style="5" bestFit="1" customWidth="1"/>
    <col min="15" max="16" width="10.85546875" style="5" customWidth="1"/>
    <col min="17" max="16384" width="9.140625" style="5"/>
  </cols>
  <sheetData>
    <row r="1" spans="1:14" s="15" customFormat="1" ht="15.75" customHeight="1" thickBot="1" x14ac:dyDescent="0.25">
      <c r="A1" s="59" t="s">
        <v>8</v>
      </c>
      <c r="B1" s="60" t="s">
        <v>5</v>
      </c>
      <c r="C1" s="61" t="s">
        <v>9</v>
      </c>
      <c r="D1" s="61" t="s">
        <v>16</v>
      </c>
      <c r="E1" s="62" t="s">
        <v>7</v>
      </c>
      <c r="F1" s="62" t="s">
        <v>11</v>
      </c>
      <c r="G1" s="61" t="s">
        <v>18</v>
      </c>
      <c r="H1" s="61" t="s">
        <v>12</v>
      </c>
      <c r="I1" s="62" t="s">
        <v>17</v>
      </c>
      <c r="J1" s="63" t="s">
        <v>6</v>
      </c>
      <c r="K1" s="63" t="s">
        <v>19</v>
      </c>
      <c r="L1" s="63" t="s">
        <v>4</v>
      </c>
      <c r="M1" s="64" t="s">
        <v>5</v>
      </c>
      <c r="N1" s="65" t="s">
        <v>20</v>
      </c>
    </row>
    <row r="2" spans="1:14" s="6" customFormat="1" x14ac:dyDescent="0.25">
      <c r="A2" s="69">
        <v>1</v>
      </c>
      <c r="B2" s="26"/>
      <c r="C2" s="25" t="s">
        <v>21</v>
      </c>
      <c r="D2" s="25" t="s">
        <v>15</v>
      </c>
      <c r="E2" s="25"/>
      <c r="F2" s="77"/>
      <c r="G2" s="19"/>
      <c r="H2" s="21"/>
      <c r="I2" s="20"/>
      <c r="J2" s="79">
        <f t="shared" ref="J2" si="0">F2*I2</f>
        <v>0</v>
      </c>
      <c r="K2" s="33" t="s">
        <v>64</v>
      </c>
      <c r="L2" s="28">
        <v>1790</v>
      </c>
      <c r="M2" s="50">
        <v>45924</v>
      </c>
      <c r="N2" s="32" t="s">
        <v>48</v>
      </c>
    </row>
    <row r="3" spans="1:14" s="6" customFormat="1" x14ac:dyDescent="0.25">
      <c r="A3" s="71">
        <f>A2+1</f>
        <v>2</v>
      </c>
      <c r="B3" s="26"/>
      <c r="C3" s="25"/>
      <c r="D3" s="25"/>
      <c r="E3" s="25"/>
      <c r="F3" s="77"/>
      <c r="G3" s="19"/>
      <c r="H3" s="21"/>
      <c r="I3" s="20"/>
      <c r="J3" s="79"/>
      <c r="K3" s="33"/>
      <c r="L3" s="28"/>
      <c r="M3" s="50"/>
      <c r="N3" s="32"/>
    </row>
    <row r="4" spans="1:14" s="6" customFormat="1" x14ac:dyDescent="0.25">
      <c r="A4" s="71">
        <f>A3+1</f>
        <v>3</v>
      </c>
      <c r="B4" s="26"/>
      <c r="C4" s="25"/>
      <c r="D4" s="25"/>
      <c r="E4" s="25"/>
      <c r="F4" s="77"/>
      <c r="G4" s="19"/>
      <c r="H4" s="21"/>
      <c r="I4" s="20"/>
      <c r="J4" s="79"/>
      <c r="K4" s="33"/>
      <c r="L4" s="28"/>
      <c r="M4" s="50"/>
      <c r="N4" s="32"/>
    </row>
    <row r="5" spans="1:14" s="6" customFormat="1" x14ac:dyDescent="0.25">
      <c r="A5" s="40">
        <f t="shared" ref="A5:A6" si="1">A4+1</f>
        <v>4</v>
      </c>
      <c r="B5" s="26"/>
      <c r="C5" s="25"/>
      <c r="D5" s="25"/>
      <c r="E5" s="25"/>
      <c r="F5" s="77"/>
      <c r="G5" s="19"/>
      <c r="H5" s="21"/>
      <c r="I5" s="20"/>
      <c r="J5" s="79"/>
      <c r="K5" s="33"/>
      <c r="L5" s="28"/>
      <c r="M5" s="50"/>
      <c r="N5" s="32"/>
    </row>
    <row r="6" spans="1:14" s="6" customFormat="1" ht="15.75" thickBot="1" x14ac:dyDescent="0.3">
      <c r="A6" s="40">
        <f t="shared" si="1"/>
        <v>5</v>
      </c>
      <c r="B6" s="26"/>
      <c r="C6" s="25"/>
      <c r="D6" s="25"/>
      <c r="E6" s="25"/>
      <c r="F6" s="77"/>
      <c r="G6" s="19"/>
      <c r="H6" s="21"/>
      <c r="I6" s="20"/>
      <c r="J6" s="79"/>
      <c r="K6" s="33"/>
      <c r="L6" s="28"/>
      <c r="M6" s="50"/>
      <c r="N6" s="32"/>
    </row>
    <row r="7" spans="1:14" s="6" customFormat="1" ht="15.75" thickBot="1" x14ac:dyDescent="0.3">
      <c r="A7" s="81" t="s">
        <v>0</v>
      </c>
      <c r="B7" s="82"/>
      <c r="C7" s="82"/>
      <c r="D7" s="82"/>
      <c r="E7" s="83"/>
      <c r="F7" s="46">
        <f>SUM(F2:F6)</f>
        <v>0</v>
      </c>
      <c r="G7" s="46"/>
      <c r="H7" s="46"/>
      <c r="I7" s="47"/>
      <c r="J7" s="80">
        <f>SUM(J2:J6)</f>
        <v>0</v>
      </c>
      <c r="K7" s="48"/>
      <c r="L7" s="51">
        <f>SUM(L2:L6)</f>
        <v>1790</v>
      </c>
      <c r="M7" s="54"/>
      <c r="N7" s="53"/>
    </row>
    <row r="8" spans="1:14" ht="15.75" thickBot="1" x14ac:dyDescent="0.3">
      <c r="B8" s="16"/>
      <c r="C8" s="1"/>
      <c r="D8" s="1"/>
      <c r="E8" s="1"/>
      <c r="F8" s="2"/>
      <c r="G8" s="3"/>
      <c r="H8" s="3"/>
      <c r="I8" s="2"/>
      <c r="J8" s="7"/>
      <c r="K8" s="7"/>
    </row>
    <row r="9" spans="1:14" ht="15.75" thickBot="1" x14ac:dyDescent="0.3">
      <c r="B9" s="66" t="s">
        <v>5</v>
      </c>
      <c r="C9" s="67" t="s">
        <v>9</v>
      </c>
      <c r="D9" s="67" t="s">
        <v>10</v>
      </c>
      <c r="E9" s="67" t="s">
        <v>13</v>
      </c>
      <c r="F9" s="68" t="s">
        <v>14</v>
      </c>
      <c r="G9" s="3"/>
      <c r="H9" s="56"/>
      <c r="I9" s="56"/>
      <c r="J9" s="8"/>
      <c r="K9" s="8"/>
    </row>
    <row r="10" spans="1:14" x14ac:dyDescent="0.25">
      <c r="B10" s="34">
        <v>45901</v>
      </c>
      <c r="C10" s="70" t="s">
        <v>23</v>
      </c>
      <c r="D10" s="31" t="s">
        <v>15</v>
      </c>
      <c r="E10" s="31" t="s">
        <v>22</v>
      </c>
      <c r="F10" s="72">
        <v>-854.07</v>
      </c>
      <c r="G10" s="3"/>
      <c r="H10" s="29"/>
      <c r="I10" s="29"/>
      <c r="J10" s="8"/>
      <c r="K10" s="8"/>
    </row>
    <row r="11" spans="1:14" x14ac:dyDescent="0.25">
      <c r="B11" s="35"/>
      <c r="C11" s="18"/>
      <c r="D11" s="31"/>
      <c r="E11" s="25"/>
      <c r="F11" s="73"/>
      <c r="G11" s="9"/>
      <c r="H11" s="56"/>
      <c r="I11" s="56"/>
      <c r="J11" s="8"/>
      <c r="K11" s="8"/>
      <c r="L11" s="10"/>
    </row>
    <row r="12" spans="1:14" x14ac:dyDescent="0.25">
      <c r="B12" s="35"/>
      <c r="C12" s="18"/>
      <c r="D12" s="31"/>
      <c r="E12" s="25"/>
      <c r="F12" s="73"/>
      <c r="G12" s="9"/>
      <c r="H12" s="58"/>
      <c r="I12" s="58"/>
      <c r="J12" s="8"/>
      <c r="K12" s="8"/>
      <c r="L12" s="7"/>
    </row>
    <row r="13" spans="1:14" x14ac:dyDescent="0.25">
      <c r="B13" s="35"/>
      <c r="C13" s="18"/>
      <c r="D13" s="31"/>
      <c r="E13" s="25"/>
      <c r="F13" s="73"/>
      <c r="G13" s="9"/>
      <c r="H13" s="57"/>
      <c r="I13" s="57"/>
      <c r="J13" s="8"/>
      <c r="K13" s="8"/>
    </row>
    <row r="14" spans="1:14" x14ac:dyDescent="0.25">
      <c r="B14" s="35"/>
      <c r="C14" s="18"/>
      <c r="D14" s="31"/>
      <c r="E14" s="25"/>
      <c r="F14" s="73"/>
      <c r="G14" s="9"/>
      <c r="H14" s="11"/>
      <c r="I14" s="12"/>
      <c r="J14" s="13"/>
      <c r="K14" s="13"/>
    </row>
    <row r="15" spans="1:14" x14ac:dyDescent="0.25">
      <c r="B15" s="36"/>
      <c r="C15" s="30"/>
      <c r="D15" s="30"/>
      <c r="E15" s="30"/>
      <c r="F15" s="74">
        <f>SUM(F10:F14)</f>
        <v>-854.07</v>
      </c>
      <c r="G15" s="3"/>
    </row>
    <row r="16" spans="1:14" ht="10.5" customHeight="1" x14ac:dyDescent="0.25">
      <c r="B16" s="37"/>
      <c r="C16" s="38"/>
      <c r="D16" s="38"/>
      <c r="E16" s="55"/>
      <c r="F16" s="39"/>
    </row>
    <row r="17" spans="2:8" x14ac:dyDescent="0.25">
      <c r="B17" s="84" t="s">
        <v>1</v>
      </c>
      <c r="C17" s="85"/>
      <c r="D17" s="85"/>
      <c r="E17" s="86"/>
      <c r="F17" s="74">
        <f>F15</f>
        <v>-854.07</v>
      </c>
    </row>
    <row r="18" spans="2:8" x14ac:dyDescent="0.25">
      <c r="B18" s="84" t="s">
        <v>2</v>
      </c>
      <c r="C18" s="85"/>
      <c r="D18" s="85"/>
      <c r="E18" s="86"/>
      <c r="F18" s="74">
        <f>J7</f>
        <v>0</v>
      </c>
    </row>
    <row r="19" spans="2:8" ht="15.75" thickBot="1" x14ac:dyDescent="0.3">
      <c r="B19" s="87" t="s">
        <v>3</v>
      </c>
      <c r="C19" s="88"/>
      <c r="D19" s="88"/>
      <c r="E19" s="89"/>
      <c r="F19" s="75">
        <f>F17-F18</f>
        <v>-854.07</v>
      </c>
    </row>
    <row r="25" spans="2:8" x14ac:dyDescent="0.25">
      <c r="H25" s="9"/>
    </row>
  </sheetData>
  <autoFilter ref="A1:N7"/>
  <mergeCells count="4">
    <mergeCell ref="A7:E7"/>
    <mergeCell ref="B17:E17"/>
    <mergeCell ref="B18:E18"/>
    <mergeCell ref="B19:E19"/>
  </mergeCells>
  <conditionalFormatting sqref="F19">
    <cfRule type="cellIs" dxfId="14" priority="4" operator="lessThan">
      <formula>1</formula>
    </cfRule>
    <cfRule type="cellIs" dxfId="13" priority="5" operator="greaterThan">
      <formula>1</formula>
    </cfRule>
  </conditionalFormatting>
  <conditionalFormatting sqref="F10">
    <cfRule type="cellIs" dxfId="12" priority="1" operator="lessThan">
      <formula>0</formula>
    </cfRule>
    <cfRule type="cellIs" dxfId="11" priority="2" operator="greaterThan">
      <formula>0</formula>
    </cfRule>
    <cfRule type="cellIs" dxfId="10" priority="3" operator="greaterThan">
      <formula>0</formula>
    </cfRule>
  </conditionalFormatting>
  <pageMargins left="0.26" right="0.19685039370078741" top="0.39" bottom="0.27559055118110237" header="0.15748031496062992" footer="0.23622047244094491"/>
  <pageSetup paperSize="9" scale="4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zoomScaleNormal="100" workbookViewId="0">
      <pane ySplit="1" topLeftCell="A2" activePane="bottomLeft" state="frozen"/>
      <selection pane="bottomLeft" activeCell="B11" sqref="B11"/>
    </sheetView>
  </sheetViews>
  <sheetFormatPr defaultRowHeight="15" x14ac:dyDescent="0.25"/>
  <cols>
    <col min="1" max="1" width="7.85546875" style="6" customWidth="1"/>
    <col min="2" max="2" width="10.140625" style="17" bestFit="1" customWidth="1"/>
    <col min="3" max="3" width="43.7109375" style="5" bestFit="1" customWidth="1"/>
    <col min="4" max="4" width="12.28515625" style="5" bestFit="1" customWidth="1"/>
    <col min="5" max="5" width="14.5703125" style="6" bestFit="1" customWidth="1"/>
    <col min="6" max="6" width="14.28515625" style="5" bestFit="1" customWidth="1"/>
    <col min="7" max="7" width="21.42578125" style="14" bestFit="1" customWidth="1"/>
    <col min="8" max="8" width="12.5703125" style="14" bestFit="1" customWidth="1"/>
    <col min="9" max="9" width="24" style="5" customWidth="1"/>
    <col min="10" max="10" width="23.7109375" style="5" bestFit="1" customWidth="1"/>
    <col min="11" max="11" width="18.5703125" style="5" customWidth="1"/>
    <col min="12" max="12" width="19.7109375" style="5" bestFit="1" customWidth="1"/>
    <col min="13" max="13" width="18.140625" style="5" customWidth="1"/>
    <col min="14" max="14" width="36.85546875" style="5" bestFit="1" customWidth="1"/>
    <col min="15" max="16" width="10.85546875" style="5" customWidth="1"/>
    <col min="17" max="16384" width="9.140625" style="5"/>
  </cols>
  <sheetData>
    <row r="1" spans="1:14" s="15" customFormat="1" ht="15.75" customHeight="1" thickBot="1" x14ac:dyDescent="0.25">
      <c r="A1" s="59" t="s">
        <v>8</v>
      </c>
      <c r="B1" s="60" t="s">
        <v>5</v>
      </c>
      <c r="C1" s="61" t="s">
        <v>9</v>
      </c>
      <c r="D1" s="61" t="s">
        <v>16</v>
      </c>
      <c r="E1" s="62" t="s">
        <v>7</v>
      </c>
      <c r="F1" s="62" t="s">
        <v>11</v>
      </c>
      <c r="G1" s="61" t="s">
        <v>18</v>
      </c>
      <c r="H1" s="61" t="s">
        <v>12</v>
      </c>
      <c r="I1" s="62" t="s">
        <v>17</v>
      </c>
      <c r="J1" s="63" t="s">
        <v>6</v>
      </c>
      <c r="K1" s="63" t="s">
        <v>19</v>
      </c>
      <c r="L1" s="63" t="s">
        <v>4</v>
      </c>
      <c r="M1" s="64" t="s">
        <v>5</v>
      </c>
      <c r="N1" s="65" t="s">
        <v>20</v>
      </c>
    </row>
    <row r="2" spans="1:14" s="6" customFormat="1" x14ac:dyDescent="0.25">
      <c r="A2" s="69">
        <v>1</v>
      </c>
      <c r="B2" s="26"/>
      <c r="C2" s="25" t="s">
        <v>21</v>
      </c>
      <c r="D2" s="25" t="s">
        <v>15</v>
      </c>
      <c r="E2" s="25"/>
      <c r="F2" s="77"/>
      <c r="G2" s="19"/>
      <c r="H2" s="21"/>
      <c r="I2" s="20"/>
      <c r="J2" s="79">
        <f t="shared" ref="J2" si="0">F2*I2</f>
        <v>0</v>
      </c>
      <c r="K2" s="33" t="s">
        <v>64</v>
      </c>
      <c r="L2" s="28">
        <v>1790</v>
      </c>
      <c r="M2" s="50">
        <v>45924</v>
      </c>
      <c r="N2" s="32" t="s">
        <v>48</v>
      </c>
    </row>
    <row r="3" spans="1:14" s="6" customFormat="1" x14ac:dyDescent="0.25">
      <c r="A3" s="71">
        <f>A2+1</f>
        <v>2</v>
      </c>
      <c r="B3" s="26"/>
      <c r="C3" s="25"/>
      <c r="D3" s="25"/>
      <c r="E3" s="25"/>
      <c r="F3" s="77"/>
      <c r="G3" s="19"/>
      <c r="H3" s="21"/>
      <c r="I3" s="20"/>
      <c r="J3" s="79"/>
      <c r="K3" s="33"/>
      <c r="L3" s="28"/>
      <c r="M3" s="50"/>
      <c r="N3" s="32"/>
    </row>
    <row r="4" spans="1:14" s="6" customFormat="1" x14ac:dyDescent="0.25">
      <c r="A4" s="71">
        <f>A3+1</f>
        <v>3</v>
      </c>
      <c r="B4" s="26"/>
      <c r="C4" s="25"/>
      <c r="D4" s="25"/>
      <c r="E4" s="25"/>
      <c r="F4" s="77"/>
      <c r="G4" s="19"/>
      <c r="H4" s="21"/>
      <c r="I4" s="20"/>
      <c r="J4" s="79"/>
      <c r="K4" s="33"/>
      <c r="L4" s="28"/>
      <c r="M4" s="50"/>
      <c r="N4" s="32"/>
    </row>
    <row r="5" spans="1:14" s="6" customFormat="1" x14ac:dyDescent="0.25">
      <c r="A5" s="40">
        <f t="shared" ref="A5:A6" si="1">A4+1</f>
        <v>4</v>
      </c>
      <c r="B5" s="26"/>
      <c r="C5" s="25"/>
      <c r="D5" s="25"/>
      <c r="E5" s="25"/>
      <c r="F5" s="77"/>
      <c r="G5" s="19"/>
      <c r="H5" s="21"/>
      <c r="I5" s="20"/>
      <c r="J5" s="79"/>
      <c r="K5" s="33"/>
      <c r="L5" s="28"/>
      <c r="M5" s="50"/>
      <c r="N5" s="32"/>
    </row>
    <row r="6" spans="1:14" s="6" customFormat="1" ht="15.75" thickBot="1" x14ac:dyDescent="0.3">
      <c r="A6" s="40">
        <f t="shared" si="1"/>
        <v>5</v>
      </c>
      <c r="B6" s="26"/>
      <c r="C6" s="25"/>
      <c r="D6" s="25"/>
      <c r="E6" s="25"/>
      <c r="F6" s="77"/>
      <c r="G6" s="19"/>
      <c r="H6" s="21"/>
      <c r="I6" s="20"/>
      <c r="J6" s="79"/>
      <c r="K6" s="33"/>
      <c r="L6" s="28"/>
      <c r="M6" s="50"/>
      <c r="N6" s="32"/>
    </row>
    <row r="7" spans="1:14" s="6" customFormat="1" ht="15.75" thickBot="1" x14ac:dyDescent="0.3">
      <c r="A7" s="81" t="s">
        <v>0</v>
      </c>
      <c r="B7" s="82"/>
      <c r="C7" s="82"/>
      <c r="D7" s="82"/>
      <c r="E7" s="83"/>
      <c r="F7" s="46">
        <f>SUM(F2:F6)</f>
        <v>0</v>
      </c>
      <c r="G7" s="46"/>
      <c r="H7" s="46"/>
      <c r="I7" s="47"/>
      <c r="J7" s="80">
        <f>SUM(J2:J6)</f>
        <v>0</v>
      </c>
      <c r="K7" s="48"/>
      <c r="L7" s="51">
        <f>SUM(L2:L6)</f>
        <v>1790</v>
      </c>
      <c r="M7" s="54"/>
      <c r="N7" s="53"/>
    </row>
    <row r="8" spans="1:14" ht="15.75" thickBot="1" x14ac:dyDescent="0.3">
      <c r="B8" s="16"/>
      <c r="C8" s="1"/>
      <c r="D8" s="1"/>
      <c r="E8" s="1"/>
      <c r="F8" s="2"/>
      <c r="G8" s="3"/>
      <c r="H8" s="3"/>
      <c r="I8" s="2"/>
      <c r="J8" s="7"/>
      <c r="K8" s="7"/>
    </row>
    <row r="9" spans="1:14" ht="15.75" thickBot="1" x14ac:dyDescent="0.3">
      <c r="B9" s="66" t="s">
        <v>5</v>
      </c>
      <c r="C9" s="67" t="s">
        <v>9</v>
      </c>
      <c r="D9" s="67" t="s">
        <v>10</v>
      </c>
      <c r="E9" s="67" t="s">
        <v>13</v>
      </c>
      <c r="F9" s="68" t="s">
        <v>14</v>
      </c>
      <c r="G9" s="3"/>
      <c r="H9" s="56"/>
      <c r="I9" s="56"/>
      <c r="J9" s="8"/>
      <c r="K9" s="8"/>
    </row>
    <row r="10" spans="1:14" x14ac:dyDescent="0.25">
      <c r="B10" s="34">
        <v>45931</v>
      </c>
      <c r="C10" s="70" t="s">
        <v>23</v>
      </c>
      <c r="D10" s="31" t="s">
        <v>15</v>
      </c>
      <c r="E10" s="31" t="s">
        <v>22</v>
      </c>
      <c r="F10" s="72">
        <v>-854.07</v>
      </c>
      <c r="G10" s="3"/>
      <c r="H10" s="29"/>
      <c r="I10" s="29"/>
      <c r="J10" s="8"/>
      <c r="K10" s="8"/>
    </row>
    <row r="11" spans="1:14" x14ac:dyDescent="0.25">
      <c r="B11" s="35"/>
      <c r="C11" s="18"/>
      <c r="D11" s="31"/>
      <c r="E11" s="25"/>
      <c r="F11" s="73"/>
      <c r="G11" s="9"/>
      <c r="H11" s="56"/>
      <c r="I11" s="56"/>
      <c r="J11" s="8"/>
      <c r="K11" s="8"/>
      <c r="L11" s="10"/>
    </row>
    <row r="12" spans="1:14" x14ac:dyDescent="0.25">
      <c r="B12" s="35"/>
      <c r="C12" s="18"/>
      <c r="D12" s="31"/>
      <c r="E12" s="25"/>
      <c r="F12" s="73"/>
      <c r="G12" s="9"/>
      <c r="H12" s="58"/>
      <c r="I12" s="58"/>
      <c r="J12" s="8"/>
      <c r="K12" s="8"/>
      <c r="L12" s="7"/>
    </row>
    <row r="13" spans="1:14" x14ac:dyDescent="0.25">
      <c r="B13" s="35"/>
      <c r="C13" s="18"/>
      <c r="D13" s="31"/>
      <c r="E13" s="25"/>
      <c r="F13" s="73"/>
      <c r="G13" s="9"/>
      <c r="H13" s="57"/>
      <c r="I13" s="57"/>
      <c r="J13" s="8"/>
      <c r="K13" s="8"/>
    </row>
    <row r="14" spans="1:14" x14ac:dyDescent="0.25">
      <c r="B14" s="35"/>
      <c r="C14" s="18"/>
      <c r="D14" s="31"/>
      <c r="E14" s="25"/>
      <c r="F14" s="73"/>
      <c r="G14" s="9"/>
      <c r="H14" s="11"/>
      <c r="I14" s="12"/>
      <c r="J14" s="13"/>
      <c r="K14" s="13"/>
    </row>
    <row r="15" spans="1:14" x14ac:dyDescent="0.25">
      <c r="B15" s="36"/>
      <c r="C15" s="30"/>
      <c r="D15" s="30"/>
      <c r="E15" s="30"/>
      <c r="F15" s="74">
        <f>SUM(F10:F14)</f>
        <v>-854.07</v>
      </c>
      <c r="G15" s="3"/>
    </row>
    <row r="16" spans="1:14" ht="10.5" customHeight="1" x14ac:dyDescent="0.25">
      <c r="B16" s="37"/>
      <c r="C16" s="38"/>
      <c r="D16" s="38"/>
      <c r="E16" s="55"/>
      <c r="F16" s="39"/>
    </row>
    <row r="17" spans="2:8" x14ac:dyDescent="0.25">
      <c r="B17" s="84" t="s">
        <v>1</v>
      </c>
      <c r="C17" s="85"/>
      <c r="D17" s="85"/>
      <c r="E17" s="86"/>
      <c r="F17" s="74">
        <f>F15</f>
        <v>-854.07</v>
      </c>
    </row>
    <row r="18" spans="2:8" x14ac:dyDescent="0.25">
      <c r="B18" s="84" t="s">
        <v>2</v>
      </c>
      <c r="C18" s="85"/>
      <c r="D18" s="85"/>
      <c r="E18" s="86"/>
      <c r="F18" s="74">
        <f>J7</f>
        <v>0</v>
      </c>
    </row>
    <row r="19" spans="2:8" ht="15.75" thickBot="1" x14ac:dyDescent="0.3">
      <c r="B19" s="87" t="s">
        <v>3</v>
      </c>
      <c r="C19" s="88"/>
      <c r="D19" s="88"/>
      <c r="E19" s="89"/>
      <c r="F19" s="75">
        <f>F17-F18</f>
        <v>-854.07</v>
      </c>
    </row>
    <row r="25" spans="2:8" x14ac:dyDescent="0.25">
      <c r="H25" s="9"/>
    </row>
  </sheetData>
  <autoFilter ref="A1:N7"/>
  <mergeCells count="4">
    <mergeCell ref="A7:E7"/>
    <mergeCell ref="B17:E17"/>
    <mergeCell ref="B18:E18"/>
    <mergeCell ref="B19:E19"/>
  </mergeCells>
  <conditionalFormatting sqref="F19">
    <cfRule type="cellIs" dxfId="9" priority="4" operator="lessThan">
      <formula>1</formula>
    </cfRule>
    <cfRule type="cellIs" dxfId="8" priority="5" operator="greaterThan">
      <formula>1</formula>
    </cfRule>
  </conditionalFormatting>
  <conditionalFormatting sqref="F10">
    <cfRule type="cellIs" dxfId="7" priority="1" operator="lessThan">
      <formula>0</formula>
    </cfRule>
    <cfRule type="cellIs" dxfId="6" priority="2" operator="greaterThan">
      <formula>0</formula>
    </cfRule>
    <cfRule type="cellIs" dxfId="5" priority="3" operator="greaterThan">
      <formula>0</formula>
    </cfRule>
  </conditionalFormatting>
  <pageMargins left="0.26" right="0.19685039370078741" top="0.39" bottom="0.27559055118110237" header="0.15748031496062992" footer="0.23622047244094491"/>
  <pageSetup paperSize="9" scale="4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25"/>
  <sheetViews>
    <sheetView tabSelected="1" zoomScaleNormal="100" workbookViewId="0">
      <pane ySplit="1" topLeftCell="A2" activePane="bottomLeft" state="frozen"/>
      <selection pane="bottomLeft" activeCell="B12" sqref="B12"/>
    </sheetView>
  </sheetViews>
  <sheetFormatPr defaultRowHeight="15" x14ac:dyDescent="0.25"/>
  <cols>
    <col min="1" max="1" width="7.85546875" style="6" customWidth="1"/>
    <col min="2" max="2" width="10.140625" style="17" bestFit="1" customWidth="1"/>
    <col min="3" max="3" width="43.7109375" style="5" bestFit="1" customWidth="1"/>
    <col min="4" max="4" width="12.28515625" style="5" bestFit="1" customWidth="1"/>
    <col min="5" max="5" width="14.5703125" style="6" bestFit="1" customWidth="1"/>
    <col min="6" max="6" width="14.28515625" style="5" bestFit="1" customWidth="1"/>
    <col min="7" max="7" width="21.42578125" style="14" bestFit="1" customWidth="1"/>
    <col min="8" max="8" width="12.5703125" style="14" bestFit="1" customWidth="1"/>
    <col min="9" max="9" width="24" style="5" customWidth="1"/>
    <col min="10" max="10" width="23.7109375" style="5" bestFit="1" customWidth="1"/>
    <col min="11" max="11" width="18.5703125" style="5" customWidth="1"/>
    <col min="12" max="12" width="19.7109375" style="5" bestFit="1" customWidth="1"/>
    <col min="13" max="13" width="18.140625" style="5" customWidth="1"/>
    <col min="14" max="14" width="36.85546875" style="5" bestFit="1" customWidth="1"/>
    <col min="15" max="16" width="10.85546875" style="5" customWidth="1"/>
    <col min="17" max="16384" width="9.140625" style="5"/>
  </cols>
  <sheetData>
    <row r="1" spans="1:14" s="15" customFormat="1" ht="15.75" customHeight="1" thickBot="1" x14ac:dyDescent="0.25">
      <c r="A1" s="59" t="s">
        <v>8</v>
      </c>
      <c r="B1" s="60" t="s">
        <v>5</v>
      </c>
      <c r="C1" s="61" t="s">
        <v>9</v>
      </c>
      <c r="D1" s="61" t="s">
        <v>16</v>
      </c>
      <c r="E1" s="62" t="s">
        <v>7</v>
      </c>
      <c r="F1" s="62" t="s">
        <v>11</v>
      </c>
      <c r="G1" s="61" t="s">
        <v>18</v>
      </c>
      <c r="H1" s="61" t="s">
        <v>12</v>
      </c>
      <c r="I1" s="62" t="s">
        <v>17</v>
      </c>
      <c r="J1" s="63" t="s">
        <v>6</v>
      </c>
      <c r="K1" s="63" t="s">
        <v>19</v>
      </c>
      <c r="L1" s="63" t="s">
        <v>4</v>
      </c>
      <c r="M1" s="64" t="s">
        <v>5</v>
      </c>
      <c r="N1" s="65" t="s">
        <v>20</v>
      </c>
    </row>
    <row r="2" spans="1:14" s="6" customFormat="1" x14ac:dyDescent="0.25">
      <c r="A2" s="69">
        <v>1</v>
      </c>
      <c r="B2" s="26"/>
      <c r="C2" s="25" t="s">
        <v>21</v>
      </c>
      <c r="D2" s="25" t="s">
        <v>15</v>
      </c>
      <c r="E2" s="25"/>
      <c r="F2" s="77"/>
      <c r="G2" s="19"/>
      <c r="H2" s="21"/>
      <c r="I2" s="20"/>
      <c r="J2" s="79">
        <f t="shared" ref="J2" si="0">F2*I2</f>
        <v>0</v>
      </c>
      <c r="K2" s="33" t="s">
        <v>64</v>
      </c>
      <c r="L2" s="28">
        <v>1790</v>
      </c>
      <c r="M2" s="50">
        <v>45924</v>
      </c>
      <c r="N2" s="32" t="s">
        <v>48</v>
      </c>
    </row>
    <row r="3" spans="1:14" s="6" customFormat="1" x14ac:dyDescent="0.25">
      <c r="A3" s="71">
        <f>A2+1</f>
        <v>2</v>
      </c>
      <c r="B3" s="26"/>
      <c r="C3" s="25"/>
      <c r="D3" s="25"/>
      <c r="E3" s="25"/>
      <c r="F3" s="77"/>
      <c r="G3" s="19"/>
      <c r="H3" s="21"/>
      <c r="I3" s="20"/>
      <c r="J3" s="79"/>
      <c r="K3" s="33"/>
      <c r="L3" s="28"/>
      <c r="M3" s="50"/>
      <c r="N3" s="32"/>
    </row>
    <row r="4" spans="1:14" s="6" customFormat="1" x14ac:dyDescent="0.25">
      <c r="A4" s="71">
        <f>A3+1</f>
        <v>3</v>
      </c>
      <c r="B4" s="26"/>
      <c r="C4" s="25"/>
      <c r="D4" s="25"/>
      <c r="E4" s="25"/>
      <c r="F4" s="77"/>
      <c r="G4" s="19"/>
      <c r="H4" s="21"/>
      <c r="I4" s="20"/>
      <c r="J4" s="79"/>
      <c r="K4" s="33"/>
      <c r="L4" s="28"/>
      <c r="M4" s="50"/>
      <c r="N4" s="32"/>
    </row>
    <row r="5" spans="1:14" s="6" customFormat="1" x14ac:dyDescent="0.25">
      <c r="A5" s="40">
        <f t="shared" ref="A5:A6" si="1">A4+1</f>
        <v>4</v>
      </c>
      <c r="B5" s="26"/>
      <c r="C5" s="25"/>
      <c r="D5" s="25"/>
      <c r="E5" s="25"/>
      <c r="F5" s="77"/>
      <c r="G5" s="19"/>
      <c r="H5" s="21"/>
      <c r="I5" s="20"/>
      <c r="J5" s="79"/>
      <c r="K5" s="33"/>
      <c r="L5" s="28"/>
      <c r="M5" s="50"/>
      <c r="N5" s="32"/>
    </row>
    <row r="6" spans="1:14" s="6" customFormat="1" ht="15.75" thickBot="1" x14ac:dyDescent="0.3">
      <c r="A6" s="40">
        <f t="shared" si="1"/>
        <v>5</v>
      </c>
      <c r="B6" s="26"/>
      <c r="C6" s="25"/>
      <c r="D6" s="25"/>
      <c r="E6" s="25"/>
      <c r="F6" s="77"/>
      <c r="G6" s="19"/>
      <c r="H6" s="21"/>
      <c r="I6" s="20"/>
      <c r="J6" s="79"/>
      <c r="K6" s="33"/>
      <c r="L6" s="28"/>
      <c r="M6" s="50"/>
      <c r="N6" s="32"/>
    </row>
    <row r="7" spans="1:14" s="6" customFormat="1" ht="15.75" thickBot="1" x14ac:dyDescent="0.3">
      <c r="A7" s="81" t="s">
        <v>0</v>
      </c>
      <c r="B7" s="82"/>
      <c r="C7" s="82"/>
      <c r="D7" s="82"/>
      <c r="E7" s="83"/>
      <c r="F7" s="46">
        <f>SUM(F2:F6)</f>
        <v>0</v>
      </c>
      <c r="G7" s="46"/>
      <c r="H7" s="46"/>
      <c r="I7" s="47"/>
      <c r="J7" s="80">
        <f>SUM(J2:J6)</f>
        <v>0</v>
      </c>
      <c r="K7" s="48"/>
      <c r="L7" s="51">
        <f>SUM(L2:L6)</f>
        <v>1790</v>
      </c>
      <c r="M7" s="54"/>
      <c r="N7" s="53"/>
    </row>
    <row r="8" spans="1:14" ht="15.75" thickBot="1" x14ac:dyDescent="0.3">
      <c r="B8" s="16"/>
      <c r="C8" s="1"/>
      <c r="D8" s="1"/>
      <c r="E8" s="1"/>
      <c r="F8" s="2"/>
      <c r="G8" s="3"/>
      <c r="H8" s="3"/>
      <c r="I8" s="2"/>
      <c r="J8" s="7"/>
      <c r="K8" s="7"/>
    </row>
    <row r="9" spans="1:14" ht="15.75" thickBot="1" x14ac:dyDescent="0.3">
      <c r="B9" s="66" t="s">
        <v>5</v>
      </c>
      <c r="C9" s="67" t="s">
        <v>9</v>
      </c>
      <c r="D9" s="67" t="s">
        <v>10</v>
      </c>
      <c r="E9" s="67" t="s">
        <v>13</v>
      </c>
      <c r="F9" s="68" t="s">
        <v>14</v>
      </c>
      <c r="G9" s="3"/>
      <c r="H9" s="56"/>
      <c r="I9" s="56"/>
      <c r="J9" s="8"/>
      <c r="K9" s="8"/>
    </row>
    <row r="10" spans="1:14" x14ac:dyDescent="0.25">
      <c r="B10" s="34">
        <v>45992</v>
      </c>
      <c r="C10" s="70" t="s">
        <v>23</v>
      </c>
      <c r="D10" s="31" t="s">
        <v>15</v>
      </c>
      <c r="E10" s="31" t="s">
        <v>22</v>
      </c>
      <c r="F10" s="72">
        <v>-854.07</v>
      </c>
      <c r="G10" s="3"/>
      <c r="H10" s="29"/>
      <c r="I10" s="29"/>
      <c r="J10" s="8"/>
      <c r="K10" s="8"/>
    </row>
    <row r="11" spans="1:14" x14ac:dyDescent="0.25">
      <c r="B11" s="35">
        <v>46014</v>
      </c>
      <c r="C11" s="18" t="s">
        <v>46</v>
      </c>
      <c r="D11" s="31" t="s">
        <v>15</v>
      </c>
      <c r="E11" s="25" t="s">
        <v>65</v>
      </c>
      <c r="F11" s="73">
        <v>820</v>
      </c>
      <c r="G11" s="9"/>
      <c r="H11" s="56"/>
      <c r="I11" s="56"/>
      <c r="J11" s="8"/>
      <c r="K11" s="8"/>
      <c r="L11" s="10"/>
    </row>
    <row r="12" spans="1:14" x14ac:dyDescent="0.25">
      <c r="B12" s="35"/>
      <c r="C12" s="18"/>
      <c r="D12" s="31"/>
      <c r="E12" s="25"/>
      <c r="F12" s="73"/>
      <c r="G12" s="9"/>
      <c r="H12" s="58"/>
      <c r="I12" s="58"/>
      <c r="J12" s="8"/>
      <c r="K12" s="8"/>
      <c r="L12" s="7"/>
    </row>
    <row r="13" spans="1:14" x14ac:dyDescent="0.25">
      <c r="B13" s="35"/>
      <c r="C13" s="18"/>
      <c r="D13" s="31"/>
      <c r="E13" s="25"/>
      <c r="F13" s="73"/>
      <c r="G13" s="9"/>
      <c r="H13" s="57"/>
      <c r="I13" s="57"/>
      <c r="J13" s="8"/>
      <c r="K13" s="8"/>
    </row>
    <row r="14" spans="1:14" x14ac:dyDescent="0.25">
      <c r="B14" s="35"/>
      <c r="C14" s="18"/>
      <c r="D14" s="31"/>
      <c r="E14" s="25"/>
      <c r="F14" s="73"/>
      <c r="G14" s="9"/>
      <c r="H14" s="11"/>
      <c r="I14" s="12"/>
      <c r="J14" s="13"/>
      <c r="K14" s="13"/>
    </row>
    <row r="15" spans="1:14" x14ac:dyDescent="0.25">
      <c r="B15" s="36"/>
      <c r="C15" s="30"/>
      <c r="D15" s="30"/>
      <c r="E15" s="30"/>
      <c r="F15" s="74">
        <f>SUM(F10:F14)</f>
        <v>-34.07000000000005</v>
      </c>
      <c r="G15" s="3"/>
    </row>
    <row r="16" spans="1:14" ht="10.5" customHeight="1" x14ac:dyDescent="0.25">
      <c r="B16" s="37"/>
      <c r="C16" s="38"/>
      <c r="D16" s="38"/>
      <c r="E16" s="55"/>
      <c r="F16" s="39"/>
    </row>
    <row r="17" spans="2:8" x14ac:dyDescent="0.25">
      <c r="B17" s="84" t="s">
        <v>1</v>
      </c>
      <c r="C17" s="85"/>
      <c r="D17" s="85"/>
      <c r="E17" s="86"/>
      <c r="F17" s="74">
        <f>F15</f>
        <v>-34.07000000000005</v>
      </c>
    </row>
    <row r="18" spans="2:8" x14ac:dyDescent="0.25">
      <c r="B18" s="84" t="s">
        <v>2</v>
      </c>
      <c r="C18" s="85"/>
      <c r="D18" s="85"/>
      <c r="E18" s="86"/>
      <c r="F18" s="74">
        <f>J7</f>
        <v>0</v>
      </c>
    </row>
    <row r="19" spans="2:8" ht="15.75" thickBot="1" x14ac:dyDescent="0.3">
      <c r="B19" s="87" t="s">
        <v>3</v>
      </c>
      <c r="C19" s="88"/>
      <c r="D19" s="88"/>
      <c r="E19" s="89"/>
      <c r="F19" s="75">
        <f>F17-F18</f>
        <v>-34.07000000000005</v>
      </c>
    </row>
    <row r="25" spans="2:8" x14ac:dyDescent="0.25">
      <c r="H25" s="9"/>
    </row>
  </sheetData>
  <autoFilter ref="A1:N7"/>
  <mergeCells count="4">
    <mergeCell ref="A7:E7"/>
    <mergeCell ref="B17:E17"/>
    <mergeCell ref="B18:E18"/>
    <mergeCell ref="B19:E19"/>
  </mergeCells>
  <conditionalFormatting sqref="F19">
    <cfRule type="cellIs" dxfId="4" priority="4" operator="lessThan">
      <formula>1</formula>
    </cfRule>
    <cfRule type="cellIs" dxfId="3" priority="5" operator="greaterThan">
      <formula>1</formula>
    </cfRule>
  </conditionalFormatting>
  <conditionalFormatting sqref="F10">
    <cfRule type="cellIs" dxfId="2" priority="1" operator="lessThan">
      <formula>0</formula>
    </cfRule>
    <cfRule type="cellIs" dxfId="1" priority="2" operator="greaterThan">
      <formula>0</formula>
    </cfRule>
    <cfRule type="cellIs" dxfId="0" priority="3" operator="greaterThan">
      <formula>0</formula>
    </cfRule>
  </conditionalFormatting>
  <pageMargins left="0.26" right="0.19685039370078741" top="0.39" bottom="0.27559055118110237" header="0.15748031496062992" footer="0.23622047244094491"/>
  <pageSetup paperSize="9" scale="4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8</vt:i4>
      </vt:variant>
    </vt:vector>
  </HeadingPairs>
  <TitlesOfParts>
    <vt:vector size="16" baseType="lpstr">
      <vt:lpstr>APR'25</vt:lpstr>
      <vt:lpstr>MAY'25</vt:lpstr>
      <vt:lpstr>JUN'25</vt:lpstr>
      <vt:lpstr>JUL'25</vt:lpstr>
      <vt:lpstr>AUG'25</vt:lpstr>
      <vt:lpstr>SEPT'25</vt:lpstr>
      <vt:lpstr>OCT'25</vt:lpstr>
      <vt:lpstr>DEC'25</vt:lpstr>
      <vt:lpstr>'APR''25'!Print_Area</vt:lpstr>
      <vt:lpstr>'AUG''25'!Print_Area</vt:lpstr>
      <vt:lpstr>'DEC''25'!Print_Area</vt:lpstr>
      <vt:lpstr>'JUL''25'!Print_Area</vt:lpstr>
      <vt:lpstr>'JUN''25'!Print_Area</vt:lpstr>
      <vt:lpstr>'MAY''25'!Print_Area</vt:lpstr>
      <vt:lpstr>'OCT''25'!Print_Area</vt:lpstr>
      <vt:lpstr>'SEPT''25'!Print_Area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User</cp:lastModifiedBy>
  <cp:lastPrinted>2024-11-22T11:04:01Z</cp:lastPrinted>
  <dcterms:created xsi:type="dcterms:W3CDTF">2023-11-08T13:21:03Z</dcterms:created>
  <dcterms:modified xsi:type="dcterms:W3CDTF">2025-12-24T06:26:18Z</dcterms:modified>
</cp:coreProperties>
</file>